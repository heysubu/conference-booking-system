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51196F13-6AD0-C1B8-E2B4-A1F9AE17003E}"/>
  <workbookPr filterPrivacy="1" codeName="ThisWorkbook"/>
  <xr:revisionPtr revIDLastSave="0" documentId="13_ncr:1_{A1D29969-C18D-4ACA-B162-5AFD71FF6F04}" xr6:coauthVersionLast="47" xr6:coauthVersionMax="47" xr10:uidLastSave="{00000000-0000-0000-0000-000000000000}"/>
  <bookViews>
    <workbookView xWindow="-120" yWindow="-120" windowWidth="20640" windowHeight="11040" firstSheet="1" activeTab="5" xr2:uid="{00000000-000D-0000-FFFF-FFFF00000000}"/>
  </bookViews>
  <sheets>
    <sheet name="DashBoard" sheetId="9" state="hidden" r:id="rId1"/>
    <sheet name="Book_Office_Room" sheetId="12" r:id="rId2"/>
    <sheet name="Check_On_Calander" sheetId="13" r:id="rId3"/>
    <sheet name="Working Sheet" sheetId="10" r:id="rId4"/>
    <sheet name="Trash Sheet" sheetId="11" state="hidden" r:id="rId5"/>
    <sheet name="Validation_Sheet" sheetId="8" r:id="rId6"/>
  </sheets>
  <externalReferences>
    <externalReference r:id="rId7"/>
  </externalReferences>
  <definedNames>
    <definedName name="_xlnm._FilterDatabase" localSheetId="3" hidden="1">'Working Sheet'!$A$1:$S$498</definedName>
    <definedName name="calendar" localSheetId="1">daygrid+[1]Calendar!firstdate-WEEKDAY([1]Calendar!firstdate)-weekday_option</definedName>
    <definedName name="daygrid">days+weeks*7</definedName>
    <definedName name="days">{0,1,2,3,4,5,6}</definedName>
    <definedName name="DayToStart">Book_Office_Room!$E$1</definedName>
    <definedName name="months">{"January","February","March","April","May","June","July","August","September","October","November","December"}</definedName>
    <definedName name="MonthToDisplayNumber" localSheetId="1">MATCH([1]Calendar!MonthToDisplay,months,0)</definedName>
    <definedName name="ndx" localSheetId="1">ROUNDUP(MATCH(2,1/FREQUENCY(DATE([1]Calendar!YearToDisplay,[1]Calendar!MonthToDisplayNumber,1),[1]Calendar!calendar))/7,0)</definedName>
    <definedName name="Slicer_Location">#N/A</definedName>
    <definedName name="Slicer_Month">#N/A</definedName>
    <definedName name="Slicer_Office_Name">#N/A</definedName>
    <definedName name="weekday_option">MATCH(DayToStart,weekdays_reversed,0)-2</definedName>
    <definedName name="weekdays_reversed">{"Sunday","Saturday","Friday","Thursday","Wednesday","Tuesday","Monday"}</definedName>
    <definedName name="weeks">{0;1;2;3;4;5;6}</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 i="10" l="1"/>
  <c r="D5" i="10"/>
  <c r="C5" i="10"/>
  <c r="P7" i="10"/>
  <c r="R7" i="10"/>
  <c r="F16" i="12"/>
  <c r="F15" i="12"/>
  <c r="F13" i="12"/>
  <c r="F12" i="12"/>
  <c r="F11" i="12"/>
  <c r="F10" i="12"/>
  <c r="F9" i="12"/>
  <c r="F6" i="12"/>
  <c r="D4" i="10" l="1"/>
  <c r="C4" i="10"/>
  <c r="J4" i="10"/>
  <c r="E7" i="12" l="1"/>
  <c r="S2" i="10"/>
  <c r="M2" i="10" s="1"/>
  <c r="S3" i="10"/>
  <c r="M3" i="10" s="1"/>
  <c r="T2" i="10"/>
  <c r="P3" i="10"/>
  <c r="J3" i="10" l="1"/>
  <c r="D3" i="10"/>
  <c r="C3" i="10"/>
  <c r="J2" i="10"/>
  <c r="D2" i="10"/>
  <c r="C2" i="10"/>
  <c r="A2" i="10"/>
  <c r="A3" i="10" s="1"/>
  <c r="A4" i="10" s="1"/>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108" i="10"/>
  <c r="P109" i="10"/>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38"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69"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P20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P230" i="10"/>
  <c r="P231" i="10"/>
  <c r="P232" i="10"/>
  <c r="P233" i="10"/>
  <c r="P234" i="10"/>
  <c r="P235" i="10"/>
  <c r="P236" i="10"/>
  <c r="P237" i="10"/>
  <c r="P238" i="10"/>
  <c r="P239" i="10"/>
  <c r="P240" i="10"/>
  <c r="P241" i="10"/>
  <c r="P242" i="10"/>
  <c r="P243" i="10"/>
  <c r="P244" i="10"/>
  <c r="P245" i="10"/>
  <c r="P246" i="10"/>
  <c r="P247" i="10"/>
  <c r="P248" i="10"/>
  <c r="P249" i="10"/>
  <c r="P250" i="10"/>
  <c r="P251" i="10"/>
  <c r="P252" i="10"/>
  <c r="P253" i="10"/>
  <c r="P254" i="10"/>
  <c r="P255" i="10"/>
  <c r="P256" i="10"/>
  <c r="P257" i="10"/>
  <c r="P258" i="10"/>
  <c r="P259" i="10"/>
  <c r="P260" i="10"/>
  <c r="P26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P291" i="10"/>
  <c r="P292" i="10"/>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322" i="10"/>
  <c r="P323" i="10"/>
  <c r="P324" i="10"/>
  <c r="P325" i="10"/>
  <c r="P326" i="10"/>
  <c r="P327" i="10"/>
  <c r="P328" i="10"/>
  <c r="P329" i="10"/>
  <c r="P330" i="10"/>
  <c r="P331" i="10"/>
  <c r="P332" i="10"/>
  <c r="P333" i="10"/>
  <c r="P334" i="10"/>
  <c r="P335" i="10"/>
  <c r="P336" i="10"/>
  <c r="P337" i="10"/>
  <c r="P338" i="10"/>
  <c r="P339" i="10"/>
  <c r="P340" i="10"/>
  <c r="P341" i="10"/>
  <c r="P342" i="10"/>
  <c r="P343" i="10"/>
  <c r="P344" i="10"/>
  <c r="P345" i="10"/>
  <c r="P346" i="10"/>
  <c r="P347" i="10"/>
  <c r="P348" i="10"/>
  <c r="P349" i="10"/>
  <c r="P350" i="10"/>
  <c r="P351" i="10"/>
  <c r="P352" i="10"/>
  <c r="P353" i="10"/>
  <c r="P354" i="10"/>
  <c r="P355" i="10"/>
  <c r="P356" i="10"/>
  <c r="P357" i="10"/>
  <c r="P358" i="10"/>
  <c r="P359" i="10"/>
  <c r="P360" i="10"/>
  <c r="P361" i="10"/>
  <c r="P362" i="10"/>
  <c r="P363" i="10"/>
  <c r="P364" i="10"/>
  <c r="P365" i="10"/>
  <c r="P366" i="10"/>
  <c r="P367" i="10"/>
  <c r="P368" i="10"/>
  <c r="P369" i="10"/>
  <c r="P370" i="10"/>
  <c r="P371" i="10"/>
  <c r="P372" i="10"/>
  <c r="P373" i="10"/>
  <c r="P374" i="10"/>
  <c r="P375" i="10"/>
  <c r="P376" i="10"/>
  <c r="P377" i="10"/>
  <c r="P378" i="10"/>
  <c r="P379" i="10"/>
  <c r="P380" i="10"/>
  <c r="P381" i="10"/>
  <c r="P382" i="10"/>
  <c r="P383" i="10"/>
  <c r="P384" i="10"/>
  <c r="P385" i="10"/>
  <c r="P386" i="10"/>
  <c r="P387" i="10"/>
  <c r="P388" i="10"/>
  <c r="P389" i="10"/>
  <c r="P390" i="10"/>
  <c r="P391" i="10"/>
  <c r="P392" i="10"/>
  <c r="P393" i="10"/>
  <c r="P394" i="10"/>
  <c r="P395" i="10"/>
  <c r="P396" i="10"/>
  <c r="P397" i="10"/>
  <c r="P398" i="10"/>
  <c r="P399" i="10"/>
  <c r="P400" i="10"/>
  <c r="P401" i="10"/>
  <c r="P402" i="10"/>
  <c r="P403" i="10"/>
  <c r="P404" i="10"/>
  <c r="P405" i="10"/>
  <c r="P406" i="10"/>
  <c r="P407" i="10"/>
  <c r="P408" i="10"/>
  <c r="P409" i="10"/>
  <c r="P410" i="10"/>
  <c r="P411" i="10"/>
  <c r="P412" i="10"/>
  <c r="P413" i="10"/>
  <c r="P414" i="10"/>
  <c r="P415" i="10"/>
  <c r="P416" i="10"/>
  <c r="P417" i="10"/>
  <c r="P418" i="10"/>
  <c r="P419" i="10"/>
  <c r="P420" i="10"/>
  <c r="P421" i="10"/>
  <c r="P422" i="10"/>
  <c r="P423" i="10"/>
  <c r="P424" i="10"/>
  <c r="P425" i="10"/>
  <c r="P426" i="10"/>
  <c r="P427" i="10"/>
  <c r="P428" i="10"/>
  <c r="P429" i="10"/>
  <c r="P430" i="10"/>
  <c r="P431" i="10"/>
  <c r="P432" i="10"/>
  <c r="P433" i="10"/>
  <c r="P434" i="10"/>
  <c r="P435" i="10"/>
  <c r="P436" i="10"/>
  <c r="P437" i="10"/>
  <c r="P438" i="10"/>
  <c r="P439" i="10"/>
  <c r="P440" i="10"/>
  <c r="P441" i="10"/>
  <c r="P442" i="10"/>
  <c r="P443" i="10"/>
  <c r="P444" i="10"/>
  <c r="P445" i="10"/>
  <c r="P446" i="10"/>
  <c r="P447" i="10"/>
  <c r="P448" i="10"/>
  <c r="P449" i="10"/>
  <c r="P450" i="10"/>
  <c r="P451" i="10"/>
  <c r="P452" i="10"/>
  <c r="P453" i="10"/>
  <c r="P454" i="10"/>
  <c r="P455" i="10"/>
  <c r="P456" i="10"/>
  <c r="P457" i="10"/>
  <c r="P458" i="10"/>
  <c r="P459" i="10"/>
  <c r="P460" i="10"/>
  <c r="P461" i="10"/>
  <c r="P462" i="10"/>
  <c r="P463" i="10"/>
  <c r="P464" i="10"/>
  <c r="P465" i="10"/>
  <c r="P466" i="10"/>
  <c r="P467" i="10"/>
  <c r="P468" i="10"/>
  <c r="P469" i="10"/>
  <c r="P470" i="10"/>
  <c r="P471" i="10"/>
  <c r="P472" i="10"/>
  <c r="P473" i="10"/>
  <c r="P474" i="10"/>
  <c r="P475" i="10"/>
  <c r="P476" i="10"/>
  <c r="P477" i="10"/>
  <c r="P478" i="10"/>
  <c r="P479" i="10"/>
  <c r="P480" i="10"/>
  <c r="P481" i="10"/>
  <c r="P482" i="10"/>
  <c r="P483" i="10"/>
  <c r="P484" i="10"/>
  <c r="P485" i="10"/>
  <c r="P486" i="10"/>
  <c r="P487" i="10"/>
  <c r="P488" i="10"/>
  <c r="P489" i="10"/>
  <c r="P490" i="10"/>
  <c r="P491" i="10"/>
  <c r="P492" i="10"/>
  <c r="P493" i="10"/>
  <c r="P494" i="10"/>
  <c r="P495" i="10"/>
  <c r="P496" i="10"/>
  <c r="P497" i="10"/>
  <c r="R2" i="10"/>
  <c r="R3" i="10"/>
  <c r="R4" i="10"/>
  <c r="R5" i="10"/>
  <c r="R6" i="10"/>
  <c r="R8" i="10"/>
  <c r="R9" i="10"/>
  <c r="R10" i="10"/>
  <c r="R11" i="10"/>
  <c r="R12" i="10"/>
  <c r="R13" i="10"/>
  <c r="R14" i="10"/>
  <c r="R15" i="10"/>
  <c r="R16" i="10"/>
  <c r="R17" i="10"/>
  <c r="R18" i="10"/>
  <c r="R19" i="10"/>
  <c r="R20" i="10"/>
  <c r="R21" i="10"/>
  <c r="R22" i="10"/>
  <c r="R23" i="10"/>
  <c r="R24" i="10"/>
  <c r="R25" i="10"/>
  <c r="R26" i="10"/>
  <c r="R27" i="10"/>
  <c r="R28" i="10"/>
  <c r="R29" i="10"/>
  <c r="R30" i="10"/>
  <c r="R31" i="10"/>
  <c r="R32" i="10"/>
  <c r="R33" i="10"/>
  <c r="R34" i="10"/>
  <c r="R35" i="10"/>
  <c r="R36" i="10"/>
  <c r="R37" i="10"/>
  <c r="R38" i="10"/>
  <c r="R39" i="10"/>
  <c r="R40" i="10"/>
  <c r="R41" i="10"/>
  <c r="R42" i="10"/>
  <c r="R43" i="10"/>
  <c r="R44" i="10"/>
  <c r="R45" i="10"/>
  <c r="R46" i="10"/>
  <c r="R47" i="10"/>
  <c r="R48" i="10"/>
  <c r="R49" i="10"/>
  <c r="R50" i="10"/>
  <c r="R51" i="10"/>
  <c r="R52" i="10"/>
  <c r="R53" i="10"/>
  <c r="R54" i="10"/>
  <c r="R55" i="10"/>
  <c r="R56" i="10"/>
  <c r="R57" i="10"/>
  <c r="R58" i="10"/>
  <c r="R59" i="10"/>
  <c r="R60" i="10"/>
  <c r="R61" i="10"/>
  <c r="R62" i="10"/>
  <c r="R63" i="10"/>
  <c r="R64" i="10"/>
  <c r="R65" i="10"/>
  <c r="R66" i="10"/>
  <c r="R67" i="10"/>
  <c r="R68" i="10"/>
  <c r="R69" i="10"/>
  <c r="R70" i="10"/>
  <c r="R71" i="10"/>
  <c r="R72" i="10"/>
  <c r="R73" i="10"/>
  <c r="R74" i="10"/>
  <c r="R75" i="10"/>
  <c r="R76" i="10"/>
  <c r="R77" i="10"/>
  <c r="R78" i="10"/>
  <c r="R79" i="10"/>
  <c r="R80" i="10"/>
  <c r="R81" i="10"/>
  <c r="R82" i="10"/>
  <c r="R83" i="10"/>
  <c r="R84" i="10"/>
  <c r="R85" i="10"/>
  <c r="R86" i="10"/>
  <c r="R87" i="10"/>
  <c r="R88" i="10"/>
  <c r="R89" i="10"/>
  <c r="R90" i="10"/>
  <c r="R91" i="10"/>
  <c r="R92" i="10"/>
  <c r="R93" i="10"/>
  <c r="R94" i="10"/>
  <c r="R95" i="10"/>
  <c r="R96" i="10"/>
  <c r="R97" i="10"/>
  <c r="R98" i="10"/>
  <c r="R99" i="10"/>
  <c r="R100" i="10"/>
  <c r="R101" i="10"/>
  <c r="R102" i="10"/>
  <c r="R103" i="10"/>
  <c r="R104" i="10"/>
  <c r="R105" i="10"/>
  <c r="R106" i="10"/>
  <c r="R107" i="10"/>
  <c r="R108" i="10"/>
  <c r="R109" i="10"/>
  <c r="R110" i="10"/>
  <c r="R111" i="10"/>
  <c r="R112" i="10"/>
  <c r="R113" i="10"/>
  <c r="R114" i="10"/>
  <c r="R115" i="10"/>
  <c r="R116" i="10"/>
  <c r="R117" i="10"/>
  <c r="R118" i="10"/>
  <c r="R119" i="10"/>
  <c r="R120" i="10"/>
  <c r="R121" i="10"/>
  <c r="R122" i="10"/>
  <c r="R123" i="10"/>
  <c r="R124" i="10"/>
  <c r="R125" i="10"/>
  <c r="R126" i="10"/>
  <c r="R127" i="10"/>
  <c r="R128" i="10"/>
  <c r="R129" i="10"/>
  <c r="R130" i="10"/>
  <c r="R131" i="10"/>
  <c r="R132" i="10"/>
  <c r="R133" i="10"/>
  <c r="R134" i="10"/>
  <c r="R135" i="10"/>
  <c r="R136" i="10"/>
  <c r="R137" i="10"/>
  <c r="R138" i="10"/>
  <c r="R139" i="10"/>
  <c r="R140" i="10"/>
  <c r="R141" i="10"/>
  <c r="R142" i="10"/>
  <c r="R143" i="10"/>
  <c r="R144" i="10"/>
  <c r="R145" i="10"/>
  <c r="R146" i="10"/>
  <c r="R147" i="10"/>
  <c r="R148" i="10"/>
  <c r="R149" i="10"/>
  <c r="R150" i="10"/>
  <c r="R151" i="10"/>
  <c r="R152" i="10"/>
  <c r="R153" i="10"/>
  <c r="R154" i="10"/>
  <c r="R155" i="10"/>
  <c r="R156" i="10"/>
  <c r="R157" i="10"/>
  <c r="R158" i="10"/>
  <c r="R159" i="10"/>
  <c r="R160" i="10"/>
  <c r="R161" i="10"/>
  <c r="R162" i="10"/>
  <c r="R163" i="10"/>
  <c r="R164" i="10"/>
  <c r="R165" i="10"/>
  <c r="R166" i="10"/>
  <c r="R167" i="10"/>
  <c r="R168" i="10"/>
  <c r="R169" i="10"/>
  <c r="R170" i="10"/>
  <c r="R171" i="10"/>
  <c r="R172" i="10"/>
  <c r="R173" i="10"/>
  <c r="R174" i="10"/>
  <c r="R175" i="10"/>
  <c r="R176" i="10"/>
  <c r="R177" i="10"/>
  <c r="R178" i="10"/>
  <c r="R179" i="10"/>
  <c r="R180" i="10"/>
  <c r="R181" i="10"/>
  <c r="R182" i="10"/>
  <c r="R183" i="10"/>
  <c r="R184" i="10"/>
  <c r="R185" i="10"/>
  <c r="R186" i="10"/>
  <c r="R187" i="10"/>
  <c r="R188" i="10"/>
  <c r="R189" i="10"/>
  <c r="R190" i="10"/>
  <c r="R191" i="10"/>
  <c r="R192" i="10"/>
  <c r="R193" i="10"/>
  <c r="R194" i="10"/>
  <c r="R195" i="10"/>
  <c r="R196" i="10"/>
  <c r="R197" i="10"/>
  <c r="R198" i="10"/>
  <c r="R199" i="10"/>
  <c r="R200" i="10"/>
  <c r="R201" i="10"/>
  <c r="R202" i="10"/>
  <c r="R203" i="10"/>
  <c r="R204" i="10"/>
  <c r="R205" i="10"/>
  <c r="R206" i="10"/>
  <c r="R207" i="10"/>
  <c r="R208" i="10"/>
  <c r="R209" i="10"/>
  <c r="R210" i="10"/>
  <c r="R211" i="10"/>
  <c r="R212" i="10"/>
  <c r="R213" i="10"/>
  <c r="R214" i="10"/>
  <c r="R215" i="10"/>
  <c r="R216" i="10"/>
  <c r="R217" i="10"/>
  <c r="R218" i="10"/>
  <c r="R219" i="10"/>
  <c r="R220" i="10"/>
  <c r="R221" i="10"/>
  <c r="R222" i="10"/>
  <c r="R223" i="10"/>
  <c r="R224" i="10"/>
  <c r="R225" i="10"/>
  <c r="R226" i="10"/>
  <c r="R227" i="10"/>
  <c r="R228" i="10"/>
  <c r="R229" i="10"/>
  <c r="R230" i="10"/>
  <c r="R231" i="10"/>
  <c r="R232" i="10"/>
  <c r="R233" i="10"/>
  <c r="R234" i="10"/>
  <c r="R235" i="10"/>
  <c r="R236" i="10"/>
  <c r="R237" i="10"/>
  <c r="R238" i="10"/>
  <c r="R239" i="10"/>
  <c r="R240" i="10"/>
  <c r="R241" i="10"/>
  <c r="R242" i="10"/>
  <c r="R243" i="10"/>
  <c r="R244" i="10"/>
  <c r="R245" i="10"/>
  <c r="R246" i="10"/>
  <c r="R247" i="10"/>
  <c r="R248" i="10"/>
  <c r="R249" i="10"/>
  <c r="R250" i="10"/>
  <c r="R251" i="10"/>
  <c r="R252" i="10"/>
  <c r="R253" i="10"/>
  <c r="R254" i="10"/>
  <c r="R255" i="10"/>
  <c r="R256" i="10"/>
  <c r="R257" i="10"/>
  <c r="R258" i="10"/>
  <c r="R259" i="10"/>
  <c r="R260" i="10"/>
  <c r="R261" i="10"/>
  <c r="R262" i="10"/>
  <c r="R263" i="10"/>
  <c r="R264" i="10"/>
  <c r="R265" i="10"/>
  <c r="R266" i="10"/>
  <c r="R267" i="10"/>
  <c r="R268" i="10"/>
  <c r="R269" i="10"/>
  <c r="R270" i="10"/>
  <c r="R271" i="10"/>
  <c r="R272" i="10"/>
  <c r="R273" i="10"/>
  <c r="R274" i="10"/>
  <c r="R275" i="10"/>
  <c r="R276" i="10"/>
  <c r="R277" i="10"/>
  <c r="R278" i="10"/>
  <c r="R279" i="10"/>
  <c r="R280" i="10"/>
  <c r="R281" i="10"/>
  <c r="R282" i="10"/>
  <c r="R283" i="10"/>
  <c r="R284" i="10"/>
  <c r="R285" i="10"/>
  <c r="R286" i="10"/>
  <c r="R287" i="10"/>
  <c r="R288" i="10"/>
  <c r="R289" i="10"/>
  <c r="R290" i="10"/>
  <c r="R291" i="10"/>
  <c r="R292" i="10"/>
  <c r="R293" i="10"/>
  <c r="R294" i="10"/>
  <c r="R295" i="10"/>
  <c r="R296" i="10"/>
  <c r="R297" i="10"/>
  <c r="R298" i="10"/>
  <c r="R299" i="10"/>
  <c r="R300" i="10"/>
  <c r="R301" i="10"/>
  <c r="R302" i="10"/>
  <c r="R303" i="10"/>
  <c r="R304" i="10"/>
  <c r="R305" i="10"/>
  <c r="R306" i="10"/>
  <c r="R307" i="10"/>
  <c r="R308" i="10"/>
  <c r="R309" i="10"/>
  <c r="R310" i="10"/>
  <c r="R311" i="10"/>
  <c r="R312" i="10"/>
  <c r="R313" i="10"/>
  <c r="R314" i="10"/>
  <c r="R315" i="10"/>
  <c r="R316" i="10"/>
  <c r="R317" i="10"/>
  <c r="R318" i="10"/>
  <c r="R319" i="10"/>
  <c r="R320" i="10"/>
  <c r="R321" i="10"/>
  <c r="R322" i="10"/>
  <c r="R323" i="10"/>
  <c r="R324" i="10"/>
  <c r="R325" i="10"/>
  <c r="R326" i="10"/>
  <c r="R327" i="10"/>
  <c r="R328" i="10"/>
  <c r="R329" i="10"/>
  <c r="R330" i="10"/>
  <c r="R331" i="10"/>
  <c r="R332" i="10"/>
  <c r="R333" i="10"/>
  <c r="R334" i="10"/>
  <c r="R335" i="10"/>
  <c r="R336" i="10"/>
  <c r="R337" i="10"/>
  <c r="R338" i="10"/>
  <c r="R339" i="10"/>
  <c r="R340" i="10"/>
  <c r="R341" i="10"/>
  <c r="R342" i="10"/>
  <c r="R343" i="10"/>
  <c r="R344" i="10"/>
  <c r="R345" i="10"/>
  <c r="R346" i="10"/>
  <c r="R347" i="10"/>
  <c r="R348" i="10"/>
  <c r="R349" i="10"/>
  <c r="R350" i="10"/>
  <c r="R351" i="10"/>
  <c r="R352" i="10"/>
  <c r="R353" i="10"/>
  <c r="R354" i="10"/>
  <c r="R355" i="10"/>
  <c r="R356" i="10"/>
  <c r="R357" i="10"/>
  <c r="R358" i="10"/>
  <c r="R359" i="10"/>
  <c r="R360" i="10"/>
  <c r="R361" i="10"/>
  <c r="R362" i="10"/>
  <c r="R363" i="10"/>
  <c r="R364" i="10"/>
  <c r="R365" i="10"/>
  <c r="R366" i="10"/>
  <c r="R367" i="10"/>
  <c r="R368" i="10"/>
  <c r="R369" i="10"/>
  <c r="R370" i="10"/>
  <c r="R371" i="10"/>
  <c r="R372" i="10"/>
  <c r="R373" i="10"/>
  <c r="R374" i="10"/>
  <c r="R375" i="10"/>
  <c r="R376" i="10"/>
  <c r="R377" i="10"/>
  <c r="R378" i="10"/>
  <c r="R379" i="10"/>
  <c r="R380" i="10"/>
  <c r="R381" i="10"/>
  <c r="R382" i="10"/>
  <c r="R383" i="10"/>
  <c r="R384" i="10"/>
  <c r="R385" i="10"/>
  <c r="R386" i="10"/>
  <c r="R387" i="10"/>
  <c r="R388" i="10"/>
  <c r="R389" i="10"/>
  <c r="R390" i="10"/>
  <c r="R391" i="10"/>
  <c r="R392" i="10"/>
  <c r="R393" i="10"/>
  <c r="R394" i="10"/>
  <c r="R395" i="10"/>
  <c r="R396" i="10"/>
  <c r="R397" i="10"/>
  <c r="R398" i="10"/>
  <c r="R399" i="10"/>
  <c r="R400" i="10"/>
  <c r="R401" i="10"/>
  <c r="R402" i="10"/>
  <c r="R403" i="10"/>
  <c r="R404" i="10"/>
  <c r="R405" i="10"/>
  <c r="R406" i="10"/>
  <c r="R407" i="10"/>
  <c r="R408" i="10"/>
  <c r="R409" i="10"/>
  <c r="R410" i="10"/>
  <c r="R411" i="10"/>
  <c r="R412" i="10"/>
  <c r="R413" i="10"/>
  <c r="R414" i="10"/>
  <c r="R415" i="10"/>
  <c r="R416" i="10"/>
  <c r="R417" i="10"/>
  <c r="R418" i="10"/>
  <c r="R419" i="10"/>
  <c r="R420" i="10"/>
  <c r="R421" i="10"/>
  <c r="R422" i="10"/>
  <c r="R423" i="10"/>
  <c r="R424" i="10"/>
  <c r="R425" i="10"/>
  <c r="R426" i="10"/>
  <c r="R427" i="10"/>
  <c r="R428" i="10"/>
  <c r="R429" i="10"/>
  <c r="R430" i="10"/>
  <c r="R431" i="10"/>
  <c r="R432" i="10"/>
  <c r="R433" i="10"/>
  <c r="R434" i="10"/>
  <c r="R435" i="10"/>
  <c r="R436" i="10"/>
  <c r="R437" i="10"/>
  <c r="R438" i="10"/>
  <c r="R439" i="10"/>
  <c r="R440" i="10"/>
  <c r="R441" i="10"/>
  <c r="R442" i="10"/>
  <c r="R443" i="10"/>
  <c r="R444" i="10"/>
  <c r="R445" i="10"/>
  <c r="R446" i="10"/>
  <c r="R447" i="10"/>
  <c r="R448" i="10"/>
  <c r="R449" i="10"/>
  <c r="R450" i="10"/>
  <c r="R451" i="10"/>
  <c r="R452" i="10"/>
  <c r="R453" i="10"/>
  <c r="R454" i="10"/>
  <c r="R455" i="10"/>
  <c r="R456" i="10"/>
  <c r="R457" i="10"/>
  <c r="R458" i="10"/>
  <c r="R459" i="10"/>
  <c r="R460" i="10"/>
  <c r="R461" i="10"/>
  <c r="R462" i="10"/>
  <c r="R463" i="10"/>
  <c r="R464" i="10"/>
  <c r="R465" i="10"/>
  <c r="R466" i="10"/>
  <c r="R467" i="10"/>
  <c r="R468" i="10"/>
  <c r="R469" i="10"/>
  <c r="R470" i="10"/>
  <c r="R471" i="10"/>
  <c r="R472" i="10"/>
  <c r="R473" i="10"/>
  <c r="R474" i="10"/>
  <c r="R475" i="10"/>
  <c r="R476" i="10"/>
  <c r="R477" i="10"/>
  <c r="R478" i="10"/>
  <c r="R479" i="10"/>
  <c r="R480" i="10"/>
  <c r="R481" i="10"/>
  <c r="R482" i="10"/>
  <c r="R483" i="10"/>
  <c r="R484" i="10"/>
  <c r="R485" i="10"/>
  <c r="R486" i="10"/>
  <c r="R487" i="10"/>
  <c r="R488" i="10"/>
  <c r="R489" i="10"/>
  <c r="R490" i="10"/>
  <c r="R491" i="10"/>
  <c r="R492" i="10"/>
  <c r="R493" i="10"/>
  <c r="R494" i="10"/>
  <c r="R495" i="10"/>
  <c r="R496" i="10"/>
  <c r="R497" i="10"/>
  <c r="T5" i="13"/>
  <c r="T6" i="13" s="1"/>
  <c r="E17" i="12"/>
  <c r="P2" i="10"/>
  <c r="P4" i="10"/>
  <c r="P5" i="10"/>
  <c r="O7" i="10" s="1"/>
  <c r="P6" i="10"/>
  <c r="P8" i="10"/>
  <c r="P9" i="10"/>
  <c r="P10" i="10"/>
  <c r="P11" i="10"/>
  <c r="C3" i="8"/>
  <c r="C4" i="8" s="1"/>
  <c r="C5" i="8" s="1"/>
  <c r="C6" i="8" s="1"/>
  <c r="C7" i="8" s="1"/>
  <c r="C8" i="8" s="1"/>
  <c r="C9" i="8" s="1"/>
  <c r="C10" i="8" s="1"/>
  <c r="C11" i="8" s="1"/>
  <c r="C12" i="8" s="1"/>
  <c r="C13" i="8" s="1"/>
  <c r="C14" i="8" s="1"/>
  <c r="C15" i="8" s="1"/>
  <c r="C16" i="8" s="1"/>
  <c r="C17" i="8" s="1"/>
  <c r="C18" i="8" s="1"/>
  <c r="C19" i="8" s="1"/>
  <c r="C20" i="8" s="1"/>
  <c r="C21" i="8" s="1"/>
  <c r="C22" i="8" s="1"/>
  <c r="C23" i="8" s="1"/>
  <c r="C24" i="8" s="1"/>
  <c r="C25" i="8" s="1"/>
  <c r="C26" i="8" s="1"/>
  <c r="C27" i="8" s="1"/>
  <c r="C28" i="8" s="1"/>
  <c r="C29" i="8" s="1"/>
  <c r="C30" i="8" s="1"/>
  <c r="C31" i="8" s="1"/>
  <c r="C32" i="8" s="1"/>
  <c r="C33" i="8" s="1"/>
  <c r="C34" i="8" s="1"/>
  <c r="C35" i="8" s="1"/>
  <c r="C36" i="8" s="1"/>
  <c r="C37" i="8" s="1"/>
  <c r="C38" i="8" s="1"/>
  <c r="C39" i="8" s="1"/>
  <c r="C40" i="8" s="1"/>
  <c r="C41" i="8" s="1"/>
  <c r="C42" i="8" s="1"/>
  <c r="C43" i="8" s="1"/>
  <c r="C44" i="8" s="1"/>
  <c r="C45" i="8" s="1"/>
  <c r="C46" i="8" s="1"/>
  <c r="C47" i="8" s="1"/>
  <c r="C48" i="8" s="1"/>
  <c r="C49" i="8" s="1"/>
  <c r="C19" i="12" l="1"/>
  <c r="O24" i="10"/>
  <c r="O23" i="10"/>
  <c r="O288" i="10"/>
  <c r="O336" i="10"/>
  <c r="O352" i="10"/>
  <c r="O360" i="10"/>
  <c r="O368" i="10"/>
  <c r="O376" i="10"/>
  <c r="O388" i="10"/>
  <c r="O396" i="10"/>
  <c r="O404" i="10"/>
  <c r="O412" i="10"/>
  <c r="O420" i="10"/>
  <c r="O432" i="10"/>
  <c r="O440" i="10"/>
  <c r="O452" i="10"/>
  <c r="O464" i="10"/>
  <c r="O476" i="10"/>
  <c r="O488" i="10"/>
  <c r="O384" i="10"/>
  <c r="O428" i="10"/>
  <c r="O444" i="10"/>
  <c r="O456" i="10"/>
  <c r="O468" i="10"/>
  <c r="O480" i="10"/>
  <c r="O492" i="10"/>
  <c r="O248" i="10"/>
  <c r="O256" i="10"/>
  <c r="O264" i="10"/>
  <c r="O272" i="10"/>
  <c r="O280" i="10"/>
  <c r="O296" i="10"/>
  <c r="O304" i="10"/>
  <c r="O312" i="10"/>
  <c r="O320" i="10"/>
  <c r="O328" i="10"/>
  <c r="O344" i="10"/>
  <c r="O356" i="10"/>
  <c r="O364" i="10"/>
  <c r="O372" i="10"/>
  <c r="O380" i="10"/>
  <c r="O392" i="10"/>
  <c r="O400" i="10"/>
  <c r="O408" i="10"/>
  <c r="O416" i="10"/>
  <c r="O424" i="10"/>
  <c r="O436" i="10"/>
  <c r="O448" i="10"/>
  <c r="O460" i="10"/>
  <c r="O472" i="10"/>
  <c r="O484" i="10"/>
  <c r="O496" i="10"/>
  <c r="O12" i="10"/>
  <c r="O240" i="10"/>
  <c r="O232" i="10"/>
  <c r="O224" i="10"/>
  <c r="O216" i="10"/>
  <c r="O208" i="10"/>
  <c r="O200" i="10"/>
  <c r="O192" i="10"/>
  <c r="O184" i="10"/>
  <c r="O176" i="10"/>
  <c r="O168" i="10"/>
  <c r="O160" i="10"/>
  <c r="O152" i="10"/>
  <c r="O144" i="10"/>
  <c r="O136" i="10"/>
  <c r="O128" i="10"/>
  <c r="O120" i="10"/>
  <c r="O112" i="10"/>
  <c r="O104" i="10"/>
  <c r="O96" i="10"/>
  <c r="O88" i="10"/>
  <c r="O80" i="10"/>
  <c r="O72" i="10"/>
  <c r="O64" i="10"/>
  <c r="O56" i="10"/>
  <c r="O48" i="10"/>
  <c r="O40" i="10"/>
  <c r="O32" i="10"/>
  <c r="O495" i="10"/>
  <c r="O491" i="10"/>
  <c r="O487" i="10"/>
  <c r="O483" i="10"/>
  <c r="O479" i="10"/>
  <c r="O475" i="10"/>
  <c r="O471" i="10"/>
  <c r="O467" i="10"/>
  <c r="O463" i="10"/>
  <c r="O459" i="10"/>
  <c r="O455" i="10"/>
  <c r="O451" i="10"/>
  <c r="O447" i="10"/>
  <c r="O443" i="10"/>
  <c r="O439" i="10"/>
  <c r="O435" i="10"/>
  <c r="O431" i="10"/>
  <c r="O427" i="10"/>
  <c r="O423" i="10"/>
  <c r="O419" i="10"/>
  <c r="O415" i="10"/>
  <c r="O411" i="10"/>
  <c r="O407" i="10"/>
  <c r="O403" i="10"/>
  <c r="O399" i="10"/>
  <c r="O395" i="10"/>
  <c r="O391" i="10"/>
  <c r="O387" i="10"/>
  <c r="O383" i="10"/>
  <c r="O379" i="10"/>
  <c r="O375" i="10"/>
  <c r="O371" i="10"/>
  <c r="O367" i="10"/>
  <c r="O363" i="10"/>
  <c r="O359" i="10"/>
  <c r="O355" i="10"/>
  <c r="O351" i="10"/>
  <c r="O343" i="10"/>
  <c r="O335" i="10"/>
  <c r="O327" i="10"/>
  <c r="O319" i="10"/>
  <c r="O311" i="10"/>
  <c r="O303" i="10"/>
  <c r="O295" i="10"/>
  <c r="O287" i="10"/>
  <c r="O279" i="10"/>
  <c r="O271" i="10"/>
  <c r="O263" i="10"/>
  <c r="O255" i="10"/>
  <c r="O247" i="10"/>
  <c r="O239" i="10"/>
  <c r="O231" i="10"/>
  <c r="O223" i="10"/>
  <c r="O215" i="10"/>
  <c r="O207" i="10"/>
  <c r="O199" i="10"/>
  <c r="O191" i="10"/>
  <c r="O183" i="10"/>
  <c r="O175" i="10"/>
  <c r="O167" i="10"/>
  <c r="O159" i="10"/>
  <c r="O151" i="10"/>
  <c r="O143" i="10"/>
  <c r="O135" i="10"/>
  <c r="O127" i="10"/>
  <c r="O119" i="10"/>
  <c r="O111" i="10"/>
  <c r="O103" i="10"/>
  <c r="O95" i="10"/>
  <c r="O87" i="10"/>
  <c r="O79" i="10"/>
  <c r="O71" i="10"/>
  <c r="O63" i="10"/>
  <c r="O55" i="10"/>
  <c r="O47" i="10"/>
  <c r="O39" i="10"/>
  <c r="O31" i="10"/>
  <c r="O13" i="10"/>
  <c r="O17" i="10"/>
  <c r="O21" i="10"/>
  <c r="O25" i="10"/>
  <c r="O29" i="10"/>
  <c r="O33" i="10"/>
  <c r="O37" i="10"/>
  <c r="O41" i="10"/>
  <c r="O45" i="10"/>
  <c r="O49" i="10"/>
  <c r="O53" i="10"/>
  <c r="O57" i="10"/>
  <c r="O61" i="10"/>
  <c r="O65" i="10"/>
  <c r="O69" i="10"/>
  <c r="O73" i="10"/>
  <c r="O77" i="10"/>
  <c r="O81" i="10"/>
  <c r="O85" i="10"/>
  <c r="O89" i="10"/>
  <c r="O93" i="10"/>
  <c r="O97" i="10"/>
  <c r="O101" i="10"/>
  <c r="O105" i="10"/>
  <c r="O109" i="10"/>
  <c r="O113" i="10"/>
  <c r="O117" i="10"/>
  <c r="O121" i="10"/>
  <c r="O125" i="10"/>
  <c r="O129" i="10"/>
  <c r="O133" i="10"/>
  <c r="O137" i="10"/>
  <c r="O141" i="10"/>
  <c r="O145" i="10"/>
  <c r="O149" i="10"/>
  <c r="O153" i="10"/>
  <c r="O157" i="10"/>
  <c r="O161" i="10"/>
  <c r="O165" i="10"/>
  <c r="O169" i="10"/>
  <c r="O173" i="10"/>
  <c r="O177" i="10"/>
  <c r="O181" i="10"/>
  <c r="O185" i="10"/>
  <c r="O189" i="10"/>
  <c r="O193" i="10"/>
  <c r="O197" i="10"/>
  <c r="O201" i="10"/>
  <c r="O205" i="10"/>
  <c r="O209" i="10"/>
  <c r="O213" i="10"/>
  <c r="O217" i="10"/>
  <c r="O221" i="10"/>
  <c r="O225" i="10"/>
  <c r="O229" i="10"/>
  <c r="O233" i="10"/>
  <c r="O237" i="10"/>
  <c r="O241" i="10"/>
  <c r="O245" i="10"/>
  <c r="O249" i="10"/>
  <c r="O253" i="10"/>
  <c r="O257" i="10"/>
  <c r="O261" i="10"/>
  <c r="O265" i="10"/>
  <c r="O269" i="10"/>
  <c r="O273" i="10"/>
  <c r="O277" i="10"/>
  <c r="O281" i="10"/>
  <c r="O285" i="10"/>
  <c r="O289" i="10"/>
  <c r="O293" i="10"/>
  <c r="O297" i="10"/>
  <c r="O301" i="10"/>
  <c r="O305" i="10"/>
  <c r="O309" i="10"/>
  <c r="O313" i="10"/>
  <c r="O317" i="10"/>
  <c r="O321" i="10"/>
  <c r="O325" i="10"/>
  <c r="O329" i="10"/>
  <c r="O333" i="10"/>
  <c r="O337" i="10"/>
  <c r="O341" i="10"/>
  <c r="O345" i="10"/>
  <c r="O349" i="10"/>
  <c r="O14" i="10"/>
  <c r="O18" i="10"/>
  <c r="O22" i="10"/>
  <c r="O26" i="10"/>
  <c r="O30" i="10"/>
  <c r="O34" i="10"/>
  <c r="O38" i="10"/>
  <c r="O42" i="10"/>
  <c r="O46" i="10"/>
  <c r="O50" i="10"/>
  <c r="O54" i="10"/>
  <c r="O58" i="10"/>
  <c r="O62" i="10"/>
  <c r="O66" i="10"/>
  <c r="O70" i="10"/>
  <c r="O74" i="10"/>
  <c r="O78" i="10"/>
  <c r="O82" i="10"/>
  <c r="O86" i="10"/>
  <c r="O90" i="10"/>
  <c r="O94" i="10"/>
  <c r="O98" i="10"/>
  <c r="O102" i="10"/>
  <c r="O106" i="10"/>
  <c r="O110" i="10"/>
  <c r="O114" i="10"/>
  <c r="O118" i="10"/>
  <c r="O122" i="10"/>
  <c r="O126" i="10"/>
  <c r="O130" i="10"/>
  <c r="O134" i="10"/>
  <c r="O138" i="10"/>
  <c r="O142" i="10"/>
  <c r="O146" i="10"/>
  <c r="O150" i="10"/>
  <c r="O154" i="10"/>
  <c r="O158" i="10"/>
  <c r="O162" i="10"/>
  <c r="O166" i="10"/>
  <c r="O170" i="10"/>
  <c r="O174" i="10"/>
  <c r="O178" i="10"/>
  <c r="O182" i="10"/>
  <c r="O186" i="10"/>
  <c r="O190" i="10"/>
  <c r="O194" i="10"/>
  <c r="O198" i="10"/>
  <c r="O202" i="10"/>
  <c r="O206" i="10"/>
  <c r="O210" i="10"/>
  <c r="O214" i="10"/>
  <c r="O218" i="10"/>
  <c r="O222" i="10"/>
  <c r="O226" i="10"/>
  <c r="O230" i="10"/>
  <c r="O234" i="10"/>
  <c r="O238" i="10"/>
  <c r="O242" i="10"/>
  <c r="O246" i="10"/>
  <c r="O250" i="10"/>
  <c r="O254" i="10"/>
  <c r="O258" i="10"/>
  <c r="O262" i="10"/>
  <c r="O266" i="10"/>
  <c r="O270" i="10"/>
  <c r="O274" i="10"/>
  <c r="O278" i="10"/>
  <c r="O282" i="10"/>
  <c r="O286" i="10"/>
  <c r="O290" i="10"/>
  <c r="O294" i="10"/>
  <c r="O298" i="10"/>
  <c r="O302" i="10"/>
  <c r="O306" i="10"/>
  <c r="O310" i="10"/>
  <c r="O314" i="10"/>
  <c r="O318" i="10"/>
  <c r="O322" i="10"/>
  <c r="O326" i="10"/>
  <c r="O330" i="10"/>
  <c r="O334" i="10"/>
  <c r="O338" i="10"/>
  <c r="O342" i="10"/>
  <c r="O346" i="10"/>
  <c r="O350" i="10"/>
  <c r="O15" i="10"/>
  <c r="O16" i="10"/>
  <c r="O494" i="10"/>
  <c r="O490" i="10"/>
  <c r="O486" i="10"/>
  <c r="O482" i="10"/>
  <c r="O478" i="10"/>
  <c r="O474" i="10"/>
  <c r="O470" i="10"/>
  <c r="O466" i="10"/>
  <c r="O462" i="10"/>
  <c r="O458" i="10"/>
  <c r="O454" i="10"/>
  <c r="O450" i="10"/>
  <c r="O446" i="10"/>
  <c r="O442" i="10"/>
  <c r="O438" i="10"/>
  <c r="O434" i="10"/>
  <c r="O430" i="10"/>
  <c r="O426" i="10"/>
  <c r="O422" i="10"/>
  <c r="O418" i="10"/>
  <c r="O414" i="10"/>
  <c r="O410" i="10"/>
  <c r="O406" i="10"/>
  <c r="O402" i="10"/>
  <c r="O398" i="10"/>
  <c r="O394" i="10"/>
  <c r="O390" i="10"/>
  <c r="O386" i="10"/>
  <c r="O382" i="10"/>
  <c r="O378" i="10"/>
  <c r="O374" i="10"/>
  <c r="O370" i="10"/>
  <c r="O366" i="10"/>
  <c r="O362" i="10"/>
  <c r="O358" i="10"/>
  <c r="O354" i="10"/>
  <c r="O348" i="10"/>
  <c r="O340" i="10"/>
  <c r="O332" i="10"/>
  <c r="O324" i="10"/>
  <c r="O316" i="10"/>
  <c r="O308" i="10"/>
  <c r="O300" i="10"/>
  <c r="O292" i="10"/>
  <c r="O284" i="10"/>
  <c r="O276" i="10"/>
  <c r="O268" i="10"/>
  <c r="O260" i="10"/>
  <c r="O252" i="10"/>
  <c r="O244" i="10"/>
  <c r="O236" i="10"/>
  <c r="O228" i="10"/>
  <c r="O220" i="10"/>
  <c r="O212" i="10"/>
  <c r="O204" i="10"/>
  <c r="O196" i="10"/>
  <c r="O188" i="10"/>
  <c r="O180" i="10"/>
  <c r="O172" i="10"/>
  <c r="O164" i="10"/>
  <c r="O156" i="10"/>
  <c r="O148" i="10"/>
  <c r="O140" i="10"/>
  <c r="O132" i="10"/>
  <c r="O124" i="10"/>
  <c r="O116" i="10"/>
  <c r="O108" i="10"/>
  <c r="O100" i="10"/>
  <c r="O92" i="10"/>
  <c r="O84" i="10"/>
  <c r="O76" i="10"/>
  <c r="O68" i="10"/>
  <c r="O60" i="10"/>
  <c r="O52" i="10"/>
  <c r="O44" i="10"/>
  <c r="O36" i="10"/>
  <c r="O28" i="10"/>
  <c r="O20" i="10"/>
  <c r="O497" i="10"/>
  <c r="O493" i="10"/>
  <c r="O489" i="10"/>
  <c r="O485" i="10"/>
  <c r="O481" i="10"/>
  <c r="O477" i="10"/>
  <c r="O473" i="10"/>
  <c r="O469" i="10"/>
  <c r="O465" i="10"/>
  <c r="O461" i="10"/>
  <c r="O457" i="10"/>
  <c r="O453" i="10"/>
  <c r="O449" i="10"/>
  <c r="O445" i="10"/>
  <c r="O441" i="10"/>
  <c r="O437" i="10"/>
  <c r="O433" i="10"/>
  <c r="O429" i="10"/>
  <c r="O425" i="10"/>
  <c r="O421" i="10"/>
  <c r="O417" i="10"/>
  <c r="O413" i="10"/>
  <c r="O409" i="10"/>
  <c r="O405" i="10"/>
  <c r="O401" i="10"/>
  <c r="O397" i="10"/>
  <c r="O393" i="10"/>
  <c r="O389" i="10"/>
  <c r="O385" i="10"/>
  <c r="O381" i="10"/>
  <c r="O377" i="10"/>
  <c r="O373" i="10"/>
  <c r="O369" i="10"/>
  <c r="O365" i="10"/>
  <c r="O361" i="10"/>
  <c r="O357" i="10"/>
  <c r="O353" i="10"/>
  <c r="O347" i="10"/>
  <c r="O339" i="10"/>
  <c r="O331" i="10"/>
  <c r="O323" i="10"/>
  <c r="O315" i="10"/>
  <c r="O307" i="10"/>
  <c r="O299" i="10"/>
  <c r="O291" i="10"/>
  <c r="O283" i="10"/>
  <c r="O275" i="10"/>
  <c r="O267" i="10"/>
  <c r="O259" i="10"/>
  <c r="O251" i="10"/>
  <c r="O243" i="10"/>
  <c r="O235" i="10"/>
  <c r="O227" i="10"/>
  <c r="O219" i="10"/>
  <c r="O211" i="10"/>
  <c r="O203" i="10"/>
  <c r="O195" i="10"/>
  <c r="O187" i="10"/>
  <c r="O179" i="10"/>
  <c r="O171" i="10"/>
  <c r="O163" i="10"/>
  <c r="O155" i="10"/>
  <c r="O147" i="10"/>
  <c r="O139" i="10"/>
  <c r="O131" i="10"/>
  <c r="O123" i="10"/>
  <c r="O115" i="10"/>
  <c r="O107" i="10"/>
  <c r="O99" i="10"/>
  <c r="O91" i="10"/>
  <c r="O83" i="10"/>
  <c r="O75" i="10"/>
  <c r="O67" i="10"/>
  <c r="O59" i="10"/>
  <c r="O51" i="10"/>
  <c r="O43" i="10"/>
  <c r="O35" i="10"/>
  <c r="O27" i="10"/>
  <c r="O19" i="10"/>
  <c r="O2" i="10"/>
  <c r="O8" i="10"/>
  <c r="O9" i="10"/>
  <c r="O11" i="10"/>
  <c r="O4" i="10"/>
  <c r="O5" i="10"/>
  <c r="O10" i="10"/>
  <c r="O6" i="10"/>
  <c r="O3" i="10"/>
  <c r="T4" i="13"/>
  <c r="C5" i="13" s="1"/>
  <c r="D5" i="13" a="1"/>
  <c r="D5" i="13" l="1"/>
  <c r="C6" i="13"/>
  <c r="E5" i="13"/>
  <c r="D6" i="13" a="1"/>
  <c r="F5" i="13" a="1"/>
  <c r="F5" i="13" l="1"/>
  <c r="D6" i="13"/>
  <c r="C7" i="13"/>
  <c r="G5" i="13"/>
  <c r="E6" i="13"/>
  <c r="D7" i="13" a="1"/>
  <c r="F6" i="13" a="1"/>
  <c r="H5" i="13" a="1"/>
  <c r="H5" i="13" l="1"/>
  <c r="D7" i="13"/>
  <c r="F6" i="13"/>
  <c r="C8" i="13"/>
  <c r="E7" i="13"/>
  <c r="I5" i="13"/>
  <c r="G6" i="13"/>
  <c r="E14" i="12"/>
  <c r="F7" i="13" a="1"/>
  <c r="J5" i="13" a="1"/>
  <c r="H6" i="13" a="1"/>
  <c r="D8" i="13" a="1"/>
  <c r="D8" i="13" l="1"/>
  <c r="H6" i="13"/>
  <c r="J5" i="13"/>
  <c r="F7" i="13"/>
  <c r="C9" i="13"/>
  <c r="E8" i="13"/>
  <c r="G7" i="13"/>
  <c r="K5" i="13"/>
  <c r="I6" i="13"/>
  <c r="J6" i="13" a="1"/>
  <c r="H7" i="13" a="1"/>
  <c r="L5" i="13" a="1"/>
  <c r="F8" i="13" a="1"/>
  <c r="D9" i="13" a="1"/>
  <c r="L5" i="13" l="1"/>
  <c r="H7" i="13"/>
  <c r="F8" i="13"/>
  <c r="J6" i="13"/>
  <c r="D9" i="13"/>
  <c r="C10" i="13"/>
  <c r="E9" i="13"/>
  <c r="G8" i="13"/>
  <c r="I7" i="13"/>
  <c r="K6" i="13"/>
  <c r="M5" i="13"/>
  <c r="E8" i="12"/>
  <c r="V14" i="12" s="1"/>
  <c r="J7" i="13" a="1"/>
  <c r="H8" i="13" a="1"/>
  <c r="L6" i="13" a="1"/>
  <c r="N5" i="13" a="1"/>
  <c r="D10" i="13" a="1"/>
  <c r="F9" i="13" a="1"/>
  <c r="H8" i="13" l="1"/>
  <c r="N5" i="13"/>
  <c r="F9" i="13"/>
  <c r="D10" i="13"/>
  <c r="L6" i="13"/>
  <c r="J7" i="13"/>
  <c r="C11" i="13"/>
  <c r="E10" i="13"/>
  <c r="F10" i="13" s="1" a="1"/>
  <c r="G9" i="13"/>
  <c r="I8" i="13"/>
  <c r="K7" i="13"/>
  <c r="O5" i="13"/>
  <c r="P5" i="13" s="1" a="1"/>
  <c r="M6" i="13"/>
  <c r="N6" i="13" a="1"/>
  <c r="D11" i="13" a="1"/>
  <c r="J8" i="13" a="1"/>
  <c r="L7" i="13" a="1"/>
  <c r="H9" i="13" a="1"/>
  <c r="P5" i="13" l="1"/>
  <c r="F10" i="13"/>
  <c r="L7" i="13"/>
  <c r="D11" i="13"/>
  <c r="J8" i="13"/>
  <c r="N6" i="13"/>
  <c r="H9" i="13"/>
  <c r="E11" i="13"/>
  <c r="G10" i="13"/>
  <c r="I9" i="13"/>
  <c r="K8" i="13"/>
  <c r="M7" i="13"/>
  <c r="O6" i="13"/>
  <c r="P6" i="13" a="1"/>
  <c r="J9" i="13" a="1"/>
  <c r="L8" i="13" a="1"/>
  <c r="F11" i="13" a="1"/>
  <c r="N7" i="13" a="1"/>
  <c r="H10" i="13" a="1"/>
  <c r="F11" i="13" l="1"/>
  <c r="N7" i="13"/>
  <c r="L8" i="13"/>
  <c r="J9" i="13"/>
  <c r="P6" i="13"/>
  <c r="H10" i="13"/>
  <c r="G11" i="13"/>
  <c r="I10" i="13"/>
  <c r="K9" i="13"/>
  <c r="M8" i="13"/>
  <c r="O7" i="13"/>
  <c r="J10" i="13"/>
  <c r="N8" i="13" a="1"/>
  <c r="H11" i="13" a="1"/>
  <c r="L9" i="13" a="1"/>
  <c r="P7" i="13" a="1"/>
  <c r="H11" i="13" l="1"/>
  <c r="N8" i="13"/>
  <c r="P7" i="13"/>
  <c r="L9" i="13"/>
  <c r="I11" i="13"/>
  <c r="J11" i="13" s="1" a="1"/>
  <c r="K10" i="13"/>
  <c r="M9" i="13"/>
  <c r="O8" i="13"/>
  <c r="P8" i="13" s="1" a="1"/>
  <c r="L10" i="13" a="1"/>
  <c r="N9" i="13" a="1"/>
  <c r="N9" i="13" l="1"/>
  <c r="L10" i="13"/>
  <c r="J11" i="13"/>
  <c r="P8" i="13"/>
  <c r="K11" i="13"/>
  <c r="M10" i="13"/>
  <c r="O9" i="13"/>
  <c r="N10" i="13" a="1"/>
  <c r="P9" i="13" a="1"/>
  <c r="L11" i="13" a="1"/>
  <c r="L11" i="13" l="1"/>
  <c r="P9" i="13"/>
  <c r="N10" i="13"/>
  <c r="M11" i="13"/>
  <c r="N11" i="13" s="1" a="1"/>
  <c r="O10" i="13"/>
  <c r="P10" i="13" a="1"/>
  <c r="N11" i="13" l="1"/>
  <c r="P10" i="13"/>
  <c r="O11" i="13"/>
  <c r="P11" i="13" a="1"/>
  <c r="P11" i="1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<sst xmlns="http://schemas.openxmlformats.org/spreadsheetml/2006/main" count="93" uniqueCount="72">
  <si>
    <t>Sr. No</t>
  </si>
  <si>
    <t>Day</t>
  </si>
  <si>
    <t>Location </t>
  </si>
  <si>
    <t>Mantri (Conference Room)</t>
  </si>
  <si>
    <t>Month</t>
  </si>
  <si>
    <t>Office Name</t>
  </si>
  <si>
    <t>Mantri Office</t>
  </si>
  <si>
    <t>WTC Office</t>
  </si>
  <si>
    <t>Office Space</t>
  </si>
  <si>
    <t>WTC (Conference Room)</t>
  </si>
  <si>
    <t>Mantri (Training Room)</t>
  </si>
  <si>
    <t>WTC (Training Room)</t>
  </si>
  <si>
    <t>Working Hour</t>
  </si>
  <si>
    <t>Admin Coordinator No.</t>
  </si>
  <si>
    <t>Date</t>
  </si>
  <si>
    <t>Booking Timing IN</t>
  </si>
  <si>
    <t>Booking Timing Out</t>
  </si>
  <si>
    <t>Total Hours</t>
  </si>
  <si>
    <t>DD-MM-YYYY</t>
  </si>
  <si>
    <t>DashBoard of Booked Done In Mantri &amp; WTC office</t>
  </si>
  <si>
    <t>Booking Timing Out :</t>
  </si>
  <si>
    <t xml:space="preserve">Booking Timing IN : </t>
  </si>
  <si>
    <t>Location :</t>
  </si>
  <si>
    <t>Office Name :</t>
  </si>
  <si>
    <t>Date :</t>
  </si>
  <si>
    <t>Format Type</t>
  </si>
  <si>
    <t>Select It</t>
  </si>
  <si>
    <t>Type Name</t>
  </si>
  <si>
    <t>Type No.</t>
  </si>
  <si>
    <t>Month :</t>
  </si>
  <si>
    <t xml:space="preserve">Day : </t>
  </si>
  <si>
    <t>Auto</t>
  </si>
  <si>
    <t xml:space="preserve">Total Hours : </t>
  </si>
  <si>
    <t>(Multiple Items)</t>
  </si>
  <si>
    <t>Column Labels</t>
  </si>
  <si>
    <t>Grand Total</t>
  </si>
  <si>
    <t>Row Labels</t>
  </si>
  <si>
    <t>Count of Date</t>
  </si>
  <si>
    <t>April</t>
  </si>
  <si>
    <t>Month No.</t>
  </si>
  <si>
    <t>Monday</t>
  </si>
  <si>
    <t>Tuesday</t>
  </si>
  <si>
    <t>Wednesday</t>
  </si>
  <si>
    <t>Thursday</t>
  </si>
  <si>
    <t>Friday</t>
  </si>
  <si>
    <t>Saturday</t>
  </si>
  <si>
    <t>Sunday</t>
  </si>
  <si>
    <t>Today Date:</t>
  </si>
  <si>
    <t>Year:</t>
  </si>
  <si>
    <t>Tracking Single Code</t>
  </si>
  <si>
    <t>Calander Showed Value</t>
  </si>
  <si>
    <t>suuq</t>
  </si>
  <si>
    <t>q</t>
  </si>
  <si>
    <t xml:space="preserve">Mail Body </t>
  </si>
  <si>
    <t xml:space="preserve">Booking For : </t>
  </si>
  <si>
    <t>Booking By :</t>
  </si>
  <si>
    <t>Booking By</t>
  </si>
  <si>
    <t>Booking For</t>
  </si>
  <si>
    <t>Experiment</t>
  </si>
  <si>
    <t>Send Mail</t>
  </si>
  <si>
    <t>Booked By Contact No. :</t>
  </si>
  <si>
    <r>
      <rPr>
        <b/>
        <u/>
        <sz val="11"/>
        <color theme="1"/>
        <rFont val="Calibri"/>
        <family val="2"/>
        <scheme val="minor"/>
      </rPr>
      <t>Note:</t>
    </r>
    <r>
      <rPr>
        <sz val="11"/>
        <color theme="1"/>
        <rFont val="Calibri"/>
        <family val="2"/>
        <scheme val="minor"/>
      </rPr>
      <t xml:space="preserve"> Please Check the Booking Calander </t>
    </r>
  </si>
  <si>
    <r>
      <rPr>
        <b/>
        <u/>
        <sz val="11"/>
        <color theme="1"/>
        <rFont val="Calibri"/>
        <family val="2"/>
        <scheme val="minor"/>
      </rPr>
      <t>Note</t>
    </r>
    <r>
      <rPr>
        <sz val="11"/>
        <color theme="1"/>
        <rFont val="Calibri"/>
        <family val="2"/>
        <scheme val="minor"/>
      </rPr>
      <t>: To Draft Mail from WorkSheet</t>
    </r>
  </si>
  <si>
    <t>Save</t>
  </si>
  <si>
    <t>qqqq</t>
  </si>
  <si>
    <t>ss</t>
  </si>
  <si>
    <t>Conference Room 1</t>
  </si>
  <si>
    <t>Conference Room 2</t>
  </si>
  <si>
    <t>Training Room 1</t>
  </si>
  <si>
    <t>Training Room 2</t>
  </si>
  <si>
    <t>Company Office 1</t>
  </si>
  <si>
    <t>Company Office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</si>
</sst>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h:mm\ AM/PM;@"/>
    <numFmt numFmtId="165" formatCode="d"/>
    <numFmt numFmtId="166" formatCode="h:mm:ss;@"/>
  </numFmts>
  <fonts count="25">
    <font>
      <sz val="11"/>
      <color theme="1"/>
      <name val="Calibri"/>
      <family val="2"/>
      <scheme val="minor"/>
    </font>
    <font>
      <b/>
      <sz val="11"/>
      <color theme="1"/>
      <name val="Calibri"/>
      <family val="2"/>
      <scheme val="minor"/>
    </font>
    <font>
      <sz val="24"/>
      <color theme="1"/>
      <name val="Arial Rounded MT Bold"/>
      <family val="2"/>
    </font>
    <font>
      <b/>
      <u/>
      <sz val="11"/>
      <color theme="1"/>
      <name val="Calibri"/>
      <family val="2"/>
      <scheme val="minor"/>
    </font>
    <font>
      <b/>
      <u/>
      <sz val="26"/>
      <color theme="1"/>
      <name val="Arial Black"/>
      <family val="2"/>
    </font>
    <font>
      <sz val="11"/>
      <color theme="1" tint="0.34998626667073579"/>
      <name val="Calibri"/>
      <family val="2"/>
      <scheme val="minor"/>
    </font>
    <font>
      <sz val="9"/>
      <color theme="1"/>
      <name val="Calibri"/>
      <family val="2"/>
      <scheme val="minor"/>
    </font>
    <font>
      <sz val="14"/>
      <color theme="1"/>
      <name val="Berlin Sans FB"/>
      <family val="2"/>
    </font>
    <font>
      <i/>
      <sz val="14"/>
      <color theme="1"/>
      <name val="Calibri"/>
      <family val="2"/>
      <scheme val="minor"/>
    </font>
    <font>
      <i/>
      <sz val="11"/>
      <color theme="1"/>
      <name val="Calibri"/>
      <family val="2"/>
      <scheme val="minor"/>
    </font>
    <font>
      <b/>
      <i/>
      <sz val="11"/>
      <color theme="1"/>
      <name val="Calibri"/>
      <family val="2"/>
      <scheme val="minor"/>
    </font>
    <font>
      <b/>
      <sz val="20"/>
      <color theme="1"/>
      <name val="Arial Unicode MS"/>
      <family val="2"/>
    </font>
    <font>
      <sz val="20"/>
      <color theme="1"/>
      <name val="Calibri"/>
      <family val="2"/>
      <scheme val="minor"/>
    </font>
    <font>
      <b/>
      <sz val="20"/>
      <color theme="1"/>
      <name val="Calibri"/>
      <family val="2"/>
      <scheme val="minor"/>
    </font>
    <font>
      <sz val="18"/>
      <color theme="1"/>
      <name val="Calibri"/>
      <family val="2"/>
      <scheme val="minor"/>
    </font>
    <font>
      <b/>
      <sz val="16"/>
      <color theme="1"/>
      <name val="Calibri"/>
      <family val="2"/>
      <scheme val="minor"/>
    </font>
    <font>
      <u/>
      <sz val="11"/>
      <color theme="10"/>
      <name val="Calibri"/>
      <family val="2"/>
      <scheme val="minor"/>
    </font>
    <font>
      <b/>
      <u/>
      <sz val="10"/>
      <color theme="1"/>
      <name val="Bahnschrift"/>
      <family val="2"/>
    </font>
    <font>
      <sz val="10"/>
      <color theme="1"/>
      <name val="Calibri"/>
      <family val="2"/>
      <scheme val="minor"/>
    </font>
    <font>
      <sz val="10"/>
      <color theme="1"/>
      <name val="Berlin Sans FB"/>
      <family val="2"/>
    </font>
    <font>
      <sz val="18"/>
      <color theme="1"/>
      <name val="Bahnschrift SemiBold"/>
      <family val="2"/>
    </font>
    <font>
      <i/>
      <sz val="16"/>
      <color theme="1"/>
      <name val="Calibri"/>
      <family val="2"/>
      <scheme val="minor"/>
    </font>
    <font>
      <u/>
      <sz val="16"/>
      <color theme="10"/>
      <name val="Calibri"/>
      <family val="2"/>
      <scheme val="minor"/>
    </font>
    <font>
      <sz val="16"/>
      <color theme="1"/>
      <name val="Calibri"/>
      <family val="2"/>
      <scheme val="minor"/>
    </font>
    <font>
      <sz val="10"/>
      <color theme="1"/>
      <name val="Wingdings 2"/>
      <family val="1"/>
      <charset val="2"/>
    </font>
  </fonts>
  <fills count="1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double">
        <color indexed="64"/>
      </left>
      <right/>
      <top style="thin">
        <color indexed="64"/>
      </top>
      <bottom style="double">
        <color indexed="64"/>
      </bottom>
      <diagonal/>
    </border>
    <border>
      <left style="double">
        <color indexed="64"/>
      </left>
      <right/>
      <top style="thin">
        <color indexed="64"/>
      </top>
      <bottom style="thin">
        <color indexed="64"/>
      </bottom>
      <diagonal/>
    </border>
    <border>
      <left style="double">
        <color indexed="64"/>
      </left>
      <right/>
      <top style="double">
        <color indexed="64"/>
      </top>
      <bottom style="thin">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style="hair">
        <color indexed="64"/>
      </bottom>
      <diagonal/>
    </border>
    <border>
      <left style="double">
        <color indexed="64"/>
      </left>
      <right style="double">
        <color indexed="64"/>
      </right>
      <top style="hair">
        <color indexed="64"/>
      </top>
      <bottom style="hair">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s>
  <cellStyleXfs count="5">
    <xf numFmtId="0" fontId="0" fillId="0" borderId="0"/>
    <xf numFmtId="0" fontId="5" fillId="0" borderId="0" applyNumberFormat="0" applyFill="0" applyBorder="0" applyProtection="0">
      <alignment vertical="top"/>
    </xf>
    <xf numFmtId="0" fontId="5" fillId="0" borderId="0" applyFill="0" applyBorder="0" applyProtection="0">
      <alignment horizontal="right" vertical="top"/>
    </xf>
    <xf numFmtId="0" fontId="6" fillId="0" borderId="3">
      <alignment vertical="top" wrapText="1"/>
    </xf>
    <xf numFmtId="0" fontId="16" fillId="0" borderId="0" applyNumberFormat="0" applyFill="0" applyBorder="0" applyAlignment="0" applyProtection="0"/>
  </cellStyleXfs>
  <cellXfs count="75">
    <xf numFmtId="0" fontId="0" fillId="0" borderId="0" xfId="0"/>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xf>
    <xf numFmtId="1" fontId="0" fillId="0" borderId="0" xfId="0" applyNumberFormat="1" applyAlignment="1">
      <alignment horizontal="center"/>
    </xf>
    <xf numFmtId="1" fontId="0" fillId="0" borderId="0" xfId="0" applyNumberFormat="1"/>
    <xf numFmtId="0" fontId="0" fillId="0" borderId="0" xfId="0" pivotButton="1"/>
    <xf numFmtId="0" fontId="0" fillId="0" borderId="0" xfId="0" applyAlignment="1">
      <alignment horizontal="left" indent="1"/>
    </xf>
    <xf numFmtId="0" fontId="2" fillId="0" borderId="0" xfId="0" applyFont="1"/>
    <xf numFmtId="14" fontId="0" fillId="0" borderId="0" xfId="0" applyNumberFormat="1"/>
    <xf numFmtId="166" fontId="0" fillId="0" borderId="0" xfId="0" applyNumberFormat="1" applyAlignment="1">
      <alignment horizontal="center" vertical="center"/>
    </xf>
    <xf numFmtId="0" fontId="9" fillId="0" borderId="0" xfId="0" applyFont="1"/>
    <xf numFmtId="0" fontId="10" fillId="0" borderId="0" xfId="0" applyFont="1"/>
    <xf numFmtId="0" fontId="12" fillId="0" borderId="0" xfId="0" applyFont="1"/>
    <xf numFmtId="165" fontId="13" fillId="0" borderId="1" xfId="0" applyNumberFormat="1" applyFont="1" applyBorder="1" applyAlignment="1">
      <alignment vertical="top" wrapText="1"/>
    </xf>
    <xf numFmtId="14" fontId="14" fillId="0" borderId="4" xfId="0" applyNumberFormat="1" applyFont="1" applyBorder="1" applyAlignment="1">
      <alignment horizontal="center"/>
    </xf>
    <xf numFmtId="0" fontId="14" fillId="0" borderId="4" xfId="0" applyFont="1" applyBorder="1" applyAlignment="1">
      <alignment horizontal="center"/>
    </xf>
    <xf numFmtId="166" fontId="14" fillId="0" borderId="4" xfId="0" applyNumberFormat="1" applyFont="1" applyBorder="1" applyAlignment="1">
      <alignment horizontal="center" vertical="center"/>
    </xf>
    <xf numFmtId="166" fontId="14" fillId="0" borderId="1" xfId="0" applyNumberFormat="1" applyFont="1" applyBorder="1" applyAlignment="1">
      <alignment horizontal="center"/>
    </xf>
    <xf numFmtId="165" fontId="15" fillId="0" borderId="1" xfId="0" applyNumberFormat="1" applyFont="1" applyBorder="1" applyAlignment="1">
      <alignment vertical="top" wrapText="1"/>
    </xf>
    <xf numFmtId="165" fontId="15" fillId="4" borderId="1" xfId="0" applyNumberFormat="1" applyFont="1" applyFill="1" applyBorder="1" applyAlignment="1">
      <alignment vertical="top" wrapText="1"/>
    </xf>
    <xf numFmtId="0" fontId="8" fillId="2" borderId="5" xfId="0" applyFont="1" applyFill="1" applyBorder="1" applyAlignment="1">
      <alignment vertical="center" wrapText="1"/>
    </xf>
    <xf numFmtId="0" fontId="0" fillId="0" borderId="6" xfId="0" applyBorder="1" applyAlignment="1">
      <alignment horizontal="center"/>
    </xf>
    <xf numFmtId="0" fontId="8" fillId="2" borderId="1" xfId="0" applyFont="1" applyFill="1" applyBorder="1" applyAlignment="1">
      <alignment vertical="center" wrapText="1"/>
    </xf>
    <xf numFmtId="14" fontId="14" fillId="0" borderId="1" xfId="0" applyNumberFormat="1" applyFont="1" applyBorder="1" applyAlignment="1">
      <alignment horizontal="center"/>
    </xf>
    <xf numFmtId="0" fontId="14" fillId="0" borderId="1" xfId="0" applyFont="1" applyBorder="1" applyAlignment="1">
      <alignment horizontal="center"/>
    </xf>
    <xf numFmtId="166" fontId="14" fillId="0" borderId="1" xfId="0" applyNumberFormat="1" applyFont="1" applyBorder="1" applyAlignment="1">
      <alignment horizontal="center" vertical="center"/>
    </xf>
    <xf numFmtId="0" fontId="0" fillId="0" borderId="1" xfId="0" applyBorder="1"/>
    <xf numFmtId="0" fontId="0" fillId="3" borderId="1" xfId="0" applyFill="1" applyBorder="1"/>
    <xf numFmtId="166" fontId="0" fillId="0" borderId="1" xfId="0" applyNumberFormat="1" applyBorder="1"/>
    <xf numFmtId="0" fontId="17" fillId="0" borderId="0" xfId="0" applyFont="1" applyAlignment="1">
      <alignment vertical="center"/>
    </xf>
    <xf numFmtId="0" fontId="18" fillId="0" borderId="0" xfId="0" applyFont="1"/>
    <xf numFmtId="0" fontId="18" fillId="0" borderId="0" xfId="0" applyFont="1" applyAlignment="1">
      <alignment horizontal="center"/>
    </xf>
    <xf numFmtId="0" fontId="21" fillId="6" borderId="0" xfId="0" applyFont="1" applyFill="1" applyAlignment="1">
      <alignment vertical="center" wrapText="1"/>
    </xf>
    <xf numFmtId="0" fontId="22" fillId="0" borderId="0" xfId="4" applyFont="1" applyBorder="1" applyAlignment="1">
      <alignment horizontal="center"/>
    </xf>
    <xf numFmtId="0" fontId="23" fillId="0" borderId="0" xfId="0" applyFont="1" applyAlignment="1">
      <alignment horizontal="center"/>
    </xf>
    <xf numFmtId="0" fontId="23" fillId="0" borderId="0" xfId="0" applyFont="1"/>
    <xf numFmtId="0" fontId="14" fillId="0" borderId="15" xfId="0" applyFont="1" applyBorder="1" applyAlignment="1">
      <alignment horizontal="center"/>
    </xf>
    <xf numFmtId="0" fontId="14" fillId="0" borderId="17" xfId="0" applyFont="1" applyBorder="1" applyAlignment="1">
      <alignment horizontal="center"/>
    </xf>
    <xf numFmtId="166" fontId="14" fillId="0" borderId="17" xfId="0" applyNumberFormat="1" applyFont="1" applyBorder="1" applyAlignment="1">
      <alignment horizontal="center"/>
    </xf>
    <xf numFmtId="0" fontId="18" fillId="0" borderId="0" xfId="0" applyFont="1" applyAlignment="1">
      <alignment vertical="center"/>
    </xf>
    <xf numFmtId="0" fontId="19" fillId="8" borderId="8" xfId="0" applyFont="1" applyFill="1" applyBorder="1"/>
    <xf numFmtId="0" fontId="19" fillId="8" borderId="9" xfId="0" applyFont="1" applyFill="1" applyBorder="1"/>
    <xf numFmtId="0" fontId="18" fillId="8" borderId="14" xfId="0" applyFont="1" applyFill="1" applyBorder="1" applyAlignment="1">
      <alignment horizontal="center"/>
    </xf>
    <xf numFmtId="0" fontId="7" fillId="8" borderId="12" xfId="0" applyFont="1" applyFill="1" applyBorder="1" applyAlignment="1">
      <alignment horizontal="center" vertical="center"/>
    </xf>
    <xf numFmtId="0" fontId="20" fillId="8" borderId="13" xfId="0" applyFont="1" applyFill="1" applyBorder="1" applyAlignment="1">
      <alignment vertical="center"/>
    </xf>
    <xf numFmtId="14" fontId="14" fillId="8" borderId="16" xfId="0" applyNumberFormat="1" applyFont="1" applyFill="1" applyBorder="1" applyAlignment="1">
      <alignment horizontal="center"/>
    </xf>
    <xf numFmtId="0" fontId="7" fillId="8" borderId="11" xfId="0" applyFont="1" applyFill="1" applyBorder="1" applyAlignment="1">
      <alignment horizontal="center" vertical="center"/>
    </xf>
    <xf numFmtId="0" fontId="14" fillId="8" borderId="17" xfId="0" applyFont="1" applyFill="1" applyBorder="1" applyAlignment="1">
      <alignment horizontal="center"/>
    </xf>
    <xf numFmtId="20" fontId="7" fillId="8" borderId="11" xfId="0" applyNumberFormat="1" applyFont="1" applyFill="1" applyBorder="1" applyAlignment="1">
      <alignment horizontal="center" vertical="center"/>
    </xf>
    <xf numFmtId="166" fontId="14" fillId="8" borderId="17" xfId="0" applyNumberFormat="1" applyFont="1" applyFill="1" applyBorder="1" applyAlignment="1">
      <alignment horizontal="center" vertical="center"/>
    </xf>
    <xf numFmtId="166" fontId="14" fillId="8" borderId="17" xfId="0" applyNumberFormat="1" applyFont="1" applyFill="1" applyBorder="1" applyAlignment="1">
      <alignment horizontal="center"/>
    </xf>
    <xf numFmtId="0" fontId="7" fillId="8" borderId="10" xfId="0" applyFont="1" applyFill="1" applyBorder="1" applyAlignment="1">
      <alignment horizontal="center" vertical="center"/>
    </xf>
    <xf numFmtId="0" fontId="14" fillId="8" borderId="15" xfId="0" applyFont="1" applyFill="1" applyBorder="1" applyAlignment="1">
      <alignment horizontal="center"/>
    </xf>
    <xf numFmtId="0" fontId="18" fillId="8" borderId="18" xfId="0" applyFont="1" applyFill="1" applyBorder="1"/>
    <xf numFmtId="0" fontId="18" fillId="8" borderId="19" xfId="0" applyFont="1" applyFill="1" applyBorder="1"/>
    <xf numFmtId="0" fontId="18" fillId="8" borderId="14" xfId="0" applyFont="1" applyFill="1" applyBorder="1"/>
    <xf numFmtId="0" fontId="18" fillId="8" borderId="20" xfId="0" applyFont="1" applyFill="1" applyBorder="1"/>
    <xf numFmtId="0" fontId="0" fillId="8" borderId="0" xfId="0" applyFill="1"/>
    <xf numFmtId="0" fontId="0" fillId="8" borderId="0" xfId="0" applyFill="1" applyAlignment="1">
      <alignment horizontal="center"/>
    </xf>
    <xf numFmtId="0" fontId="18" fillId="8" borderId="21" xfId="0" applyFont="1" applyFill="1" applyBorder="1"/>
    <xf numFmtId="0" fontId="18" fillId="8" borderId="0" xfId="0" applyFont="1" applyFill="1"/>
    <xf numFmtId="0" fontId="0" fillId="8" borderId="21" xfId="0" applyFill="1" applyBorder="1"/>
    <xf numFmtId="0" fontId="18" fillId="8" borderId="22" xfId="0" applyFont="1" applyFill="1" applyBorder="1"/>
    <xf numFmtId="0" fontId="18" fillId="8" borderId="23" xfId="0" applyFont="1" applyFill="1" applyBorder="1"/>
    <xf numFmtId="0" fontId="0" fillId="8" borderId="23" xfId="0" applyFill="1" applyBorder="1"/>
    <xf numFmtId="0" fontId="0" fillId="8" borderId="24" xfId="0" applyFill="1" applyBorder="1"/>
    <xf numFmtId="0" fontId="18" fillId="9" borderId="0" xfId="0" applyFont="1" applyFill="1"/>
    <xf numFmtId="0" fontId="24" fillId="9" borderId="0" xfId="0" applyFont="1" applyFill="1"/>
    <xf numFmtId="0" fontId="4" fillId="0" borderId="0" xfId="0" applyFont="1" applyAlignment="1">
      <alignment horizontal="center" vertical="center"/>
    </xf>
    <xf numFmtId="0" fontId="20" fillId="7" borderId="7" xfId="0" applyFont="1" applyFill="1" applyBorder="1" applyAlignment="1">
      <alignment horizontal="center" vertical="center"/>
    </xf>
    <xf numFmtId="0" fontId="2" fillId="0" borderId="0" xfId="0" applyFont="1" applyAlignment="1">
      <alignment horizontal="center"/>
    </xf>
    <xf numFmtId="0" fontId="11" fillId="5" borderId="2" xfId="0" applyFont="1" applyFill="1" applyBorder="1" applyAlignment="1">
      <alignment horizontal="center" vertical="center" wrapText="1"/>
    </xf>
    <xf numFmtId="0" fontId="11" fillId="5" borderId="4" xfId="0" applyFont="1" applyFill="1" applyBorder="1" applyAlignment="1">
      <alignment horizontal="center" vertical="center" wrapText="1"/>
    </xf>
  </cellXfs>
  <cellStyles count="5">
    <cellStyle name="DayDescriptions" xfId="3" xr:uid="{00000000-0005-0000-0000-000000000000}"/>
    <cellStyle name="Hyperlink" xfId="4" builtinId="8"/>
    <cellStyle name="Input Label Left aligned" xfId="1" xr:uid="{00000000-0005-0000-0000-000002000000}"/>
    <cellStyle name="Input Label Right aligned" xfId="2" xr:uid="{00000000-0005-0000-0000-000003000000}"/>
    <cellStyle name="Normal" xfId="0" builtinId="0"/>
  </cellStyles>
  <dxfs count="31">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theme="1" tint="4.9989318521683403E-2"/>
        </patternFill>
      </fill>
    </dxf>
    <dxf>
      <fill>
        <patternFill>
          <bgColor rgb="FFFF0000"/>
        </patternFill>
      </fill>
    </dxf>
    <dxf>
      <font>
        <color theme="0"/>
      </font>
      <fill>
        <patternFill>
          <bgColor theme="1"/>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[Conference Booking System.xlsm]Trash Sheet!PivotTable1</c:name>
    <c:fmtId val="1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
        <c:idx val="8"/>
        <c:spPr>
          <a:solidFill>
            <a:schemeClr val="accent1"/>
          </a:solidFill>
          <a:ln>
            <a:noFill/>
          </a:ln>
          <a:effectLst/>
          <a:sp3d/>
        </c:spPr>
        <c:marker>
          <c:symbol val="none"/>
        </c:marker>
      </c:pivotFmt>
      <c:pivotFmt>
        <c:idx val="9"/>
        <c:spPr>
          <a:solidFill>
            <a:schemeClr val="accent1"/>
          </a:solidFill>
          <a:ln>
            <a:noFill/>
          </a:ln>
          <a:effectLst/>
          <a:sp3d/>
        </c:spPr>
        <c:marker>
          <c:symbol val="none"/>
        </c:marker>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'Trash Sheet'!$C$7:$C$8</c:f>
              <c:strCache>
                <c:ptCount val="1"/>
                <c:pt idx="0">
                  <c:v>Mantri (Conference Room)</c:v>
                </c:pt>
              </c:strCache>
            </c:strRef>
          </c:tx>
          <c:spPr>
            <a:solidFill>
              <a:schemeClr val="accent1"/>
            </a:solidFill>
            <a:ln>
              <a:noFill/>
            </a:ln>
            <a:effectLst/>
            <a:sp3d/>
          </c:spPr>
          <c:invertIfNegative val="0"/>
          <c:cat>
            <c:multiLvlStrRef>
              <c:f>'Trash Sheet'!$B$9:$B$13</c:f>
              <c:multiLvlStrCache>
                <c:ptCount val="2"/>
                <c:lvl>
                  <c:pt idx="0">
                    <c:v>April</c:v>
                  </c:pt>
                  <c:pt idx="1">
                    <c:v>April</c:v>
                  </c:pt>
                </c:lvl>
                <c:lvl>
                  <c:pt idx="0">
                    <c:v>Mantri Office</c:v>
                  </c:pt>
                  <c:pt idx="1">
                    <c:v>WTC Office</c:v>
                  </c:pt>
                </c:lvl>
              </c:multiLvlStrCache>
            </c:multiLvlStrRef>
          </c:cat>
          <c:val>
            <c:numRef>
              <c:f>'Trash Sheet'!$C$9:$C$13</c:f>
              <c:numCache>
                <c:formatCode>General</c:formatCode>
                <c:ptCount val="2"/>
                <c:pt idx="0">
                  <c:v>1</c:v>
                </c:pt>
              </c:numCache>
            </c:numRef>
          </c:val>
          <c:extLst>
            <c:ext xmlns:c16="http://schemas.microsoft.com/office/drawing/2014/chart" uri="{C3380CC4-5D6E-409C-BE32-E72D297353CC}">
              <c16:uniqueId val="{00000000-4C28-4F14-B174-13323C5199AF}"/>
            </c:ext>
          </c:extLst>
        </c:ser>
        <c:ser>
          <c:idx val="1"/>
          <c:order val="1"/>
          <c:tx>
            <c:strRef>
              <c:f>'Trash Sheet'!$D$7:$D$8</c:f>
              <c:strCache>
                <c:ptCount val="1"/>
                <c:pt idx="0">
                  <c:v>Mantri (Training Room)</c:v>
                </c:pt>
              </c:strCache>
            </c:strRef>
          </c:tx>
          <c:spPr>
            <a:solidFill>
              <a:schemeClr val="accent2"/>
            </a:solidFill>
            <a:ln>
              <a:noFill/>
            </a:ln>
            <a:effectLst/>
            <a:sp3d/>
          </c:spPr>
          <c:invertIfNegative val="0"/>
          <c:cat>
            <c:multiLvlStrRef>
              <c:f>'Trash Sheet'!$B$9:$B$13</c:f>
              <c:multiLvlStrCache>
                <c:ptCount val="2"/>
                <c:lvl>
                  <c:pt idx="0">
                    <c:v>April</c:v>
                  </c:pt>
                  <c:pt idx="1">
                    <c:v>April</c:v>
                  </c:pt>
                </c:lvl>
                <c:lvl>
                  <c:pt idx="0">
                    <c:v>Mantri Office</c:v>
                  </c:pt>
                  <c:pt idx="1">
                    <c:v>WTC Office</c:v>
                  </c:pt>
                </c:lvl>
              </c:multiLvlStrCache>
            </c:multiLvlStrRef>
          </c:cat>
          <c:val>
            <c:numRef>
              <c:f>'Trash Sheet'!$D$9:$D$13</c:f>
              <c:numCache>
                <c:formatCode>General</c:formatCode>
                <c:ptCount val="2"/>
                <c:pt idx="0">
                  <c:v>1</c:v>
                </c:pt>
                <c:pt idx="1">
                  <c:v>2</c:v>
                </c:pt>
              </c:numCache>
            </c:numRef>
          </c:val>
          <c:extLst>
            <c:ext xmlns:c16="http://schemas.microsoft.com/office/drawing/2014/chart" uri="{C3380CC4-5D6E-409C-BE32-E72D297353CC}">
              <c16:uniqueId val="{00000004-2C83-4F84-8A67-931A70693853}"/>
            </c:ext>
          </c:extLst>
        </c:ser>
        <c:ser>
          <c:idx val="2"/>
          <c:order val="2"/>
          <c:tx>
            <c:strRef>
              <c:f>'Trash Sheet'!$E$7:$E$8</c:f>
              <c:strCache>
                <c:ptCount val="1"/>
                <c:pt idx="0">
                  <c:v>WTC (Conference Room)</c:v>
                </c:pt>
              </c:strCache>
            </c:strRef>
          </c:tx>
          <c:spPr>
            <a:solidFill>
              <a:schemeClr val="accent3"/>
            </a:solidFill>
            <a:ln>
              <a:noFill/>
            </a:ln>
            <a:effectLst/>
            <a:sp3d/>
          </c:spPr>
          <c:invertIfNegative val="0"/>
          <c:cat>
            <c:multiLvlStrRef>
              <c:f>'Trash Sheet'!$B$9:$B$13</c:f>
              <c:multiLvlStrCache>
                <c:ptCount val="2"/>
                <c:lvl>
                  <c:pt idx="0">
                    <c:v>April</c:v>
                  </c:pt>
                  <c:pt idx="1">
                    <c:v>April</c:v>
                  </c:pt>
                </c:lvl>
                <c:lvl>
                  <c:pt idx="0">
                    <c:v>Mantri Office</c:v>
                  </c:pt>
                  <c:pt idx="1">
                    <c:v>WTC Office</c:v>
                  </c:pt>
                </c:lvl>
              </c:multiLvlStrCache>
            </c:multiLvlStrRef>
          </c:cat>
          <c:val>
            <c:numRef>
              <c:f>'Trash Sheet'!$E$9:$E$13</c:f>
              <c:numCache>
                <c:formatCode>General</c:formatCode>
                <c:ptCount val="2"/>
                <c:pt idx="1">
                  <c:v>1</c:v>
                </c:pt>
              </c:numCache>
            </c:numRef>
          </c:val>
          <c:extLst>
            <c:ext xmlns:c16="http://schemas.microsoft.com/office/drawing/2014/chart" uri="{C3380CC4-5D6E-409C-BE32-E72D297353CC}">
              <c16:uniqueId val="{00000005-2C83-4F84-8A67-931A70693853}"/>
            </c:ext>
          </c:extLst>
        </c:ser>
        <c:dLbls>
          <c:showLegendKey val="0"/>
          <c:showVal val="0"/>
          <c:showCatName val="0"/>
          <c:showSerName val="0"/>
          <c:showPercent val="0"/>
          <c:showBubbleSize val="0"/>
        </c:dLbls>
        <c:gapWidth val="150"/>
        <c:shape val="box"/>
        <c:axId val="1495235136"/>
        <c:axId val="1495230144"/>
        <c:axId val="0"/>
      </c:bar3DChart>
      <c:catAx>
        <c:axId val="14952351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230144"/>
        <c:crosses val="autoZero"/>
        <c:auto val="1"/>
        <c:lblAlgn val="ctr"/>
        <c:lblOffset val="100"/>
        <c:noMultiLvlLbl val="0"/>
      </c:catAx>
      <c:valAx>
        <c:axId val="1495230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235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[Conference Booking System.xlsm]Trash Sheet!PivotTable1</c:name>
    <c:fmtId val="1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marker>
          <c:symbol val="none"/>
        </c:marke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marker>
          <c:symbol val="none"/>
        </c:marke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s>
    <c:plotArea>
      <c:layout/>
      <c:pieChart>
        <c:varyColors val="1"/>
        <c:ser>
          <c:idx val="0"/>
          <c:order val="0"/>
          <c:tx>
            <c:strRef>
              <c:f>'Trash Sheet'!$C$7:$C$8</c:f>
              <c:strCache>
                <c:ptCount val="1"/>
                <c:pt idx="0">
                  <c:v>Mantri (Conference Room)</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240-4D4D-8F0D-6D4324A4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240-4D4D-8F0D-6D4324A4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75E-43DE-8A8B-5ADD114D353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75E-43DE-8A8B-5ADD114D3535}"/>
              </c:ext>
            </c:extLst>
          </c:dPt>
          <c:cat>
            <c:multiLvlStrRef>
              <c:f>'Trash Sheet'!$B$9:$B$13</c:f>
              <c:multiLvlStrCache>
                <c:ptCount val="2"/>
                <c:lvl>
                  <c:pt idx="0">
                    <c:v>April</c:v>
                  </c:pt>
                  <c:pt idx="1">
                    <c:v>April</c:v>
                  </c:pt>
                </c:lvl>
                <c:lvl>
                  <c:pt idx="0">
                    <c:v>Mantri Office</c:v>
                  </c:pt>
                  <c:pt idx="1">
                    <c:v>WTC Office</c:v>
                  </c:pt>
                </c:lvl>
              </c:multiLvlStrCache>
            </c:multiLvlStrRef>
          </c:cat>
          <c:val>
            <c:numRef>
              <c:f>'Trash Sheet'!$C$9:$C$13</c:f>
              <c:numCache>
                <c:formatCode>General</c:formatCode>
                <c:ptCount val="2"/>
                <c:pt idx="0">
                  <c:v>1</c:v>
                </c:pt>
              </c:numCache>
            </c:numRef>
          </c:val>
          <c:extLst>
            <c:ext xmlns:c16="http://schemas.microsoft.com/office/drawing/2014/chart" uri="{C3380CC4-5D6E-409C-BE32-E72D297353CC}">
              <c16:uniqueId val="{00000004-C240-4D4D-8F0D-6D4324A4536A}"/>
            </c:ext>
          </c:extLst>
        </c:ser>
        <c:ser>
          <c:idx val="1"/>
          <c:order val="1"/>
          <c:tx>
            <c:strRef>
              <c:f>'Trash Sheet'!$D$7:$D$8</c:f>
              <c:strCache>
                <c:ptCount val="1"/>
                <c:pt idx="0">
                  <c:v>Mantri (Training Room)</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E02F-4D6C-AC7E-E970CED970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E02F-4D6C-AC7E-E970CED970A1}"/>
              </c:ext>
            </c:extLst>
          </c:dPt>
          <c:cat>
            <c:multiLvlStrRef>
              <c:f>'Trash Sheet'!$B$9:$B$13</c:f>
              <c:multiLvlStrCache>
                <c:ptCount val="2"/>
                <c:lvl>
                  <c:pt idx="0">
                    <c:v>April</c:v>
                  </c:pt>
                  <c:pt idx="1">
                    <c:v>April</c:v>
                  </c:pt>
                </c:lvl>
                <c:lvl>
                  <c:pt idx="0">
                    <c:v>Mantri Office</c:v>
                  </c:pt>
                  <c:pt idx="1">
                    <c:v>WTC Office</c:v>
                  </c:pt>
                </c:lvl>
              </c:multiLvlStrCache>
            </c:multiLvlStrRef>
          </c:cat>
          <c:val>
            <c:numRef>
              <c:f>'Trash Sheet'!$D$9:$D$13</c:f>
              <c:numCache>
                <c:formatCode>General</c:formatCode>
                <c:ptCount val="2"/>
                <c:pt idx="0">
                  <c:v>1</c:v>
                </c:pt>
                <c:pt idx="1">
                  <c:v>2</c:v>
                </c:pt>
              </c:numCache>
            </c:numRef>
          </c:val>
          <c:extLst>
            <c:ext xmlns:c16="http://schemas.microsoft.com/office/drawing/2014/chart" uri="{C3380CC4-5D6E-409C-BE32-E72D297353CC}">
              <c16:uniqueId val="{00000024-1844-4BAE-9DA7-C22D21F43939}"/>
            </c:ext>
          </c:extLst>
        </c:ser>
        <c:ser>
          <c:idx val="2"/>
          <c:order val="2"/>
          <c:tx>
            <c:strRef>
              <c:f>'Trash Sheet'!$E$7:$E$8</c:f>
              <c:strCache>
                <c:ptCount val="1"/>
                <c:pt idx="0">
                  <c:v>WTC (Conference Room)</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E02F-4D6C-AC7E-E970CED970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E02F-4D6C-AC7E-E970CED970A1}"/>
              </c:ext>
            </c:extLst>
          </c:dPt>
          <c:cat>
            <c:multiLvlStrRef>
              <c:f>'Trash Sheet'!$B$9:$B$13</c:f>
              <c:multiLvlStrCache>
                <c:ptCount val="2"/>
                <c:lvl>
                  <c:pt idx="0">
                    <c:v>April</c:v>
                  </c:pt>
                  <c:pt idx="1">
                    <c:v>April</c:v>
                  </c:pt>
                </c:lvl>
                <c:lvl>
                  <c:pt idx="0">
                    <c:v>Mantri Office</c:v>
                  </c:pt>
                  <c:pt idx="1">
                    <c:v>WTC Office</c:v>
                  </c:pt>
                </c:lvl>
              </c:multiLvlStrCache>
            </c:multiLvlStrRef>
          </c:cat>
          <c:val>
            <c:numRef>
              <c:f>'Trash Sheet'!$E$9:$E$13</c:f>
              <c:numCache>
                <c:formatCode>General</c:formatCode>
                <c:ptCount val="2"/>
                <c:pt idx="1">
                  <c:v>1</c:v>
                </c:pt>
              </c:numCache>
            </c:numRef>
          </c:val>
          <c:extLst>
            <c:ext xmlns:c16="http://schemas.microsoft.com/office/drawing/2014/chart" uri="{C3380CC4-5D6E-409C-BE32-E72D297353CC}">
              <c16:uniqueId val="{00000025-1844-4BAE-9DA7-C22D21F4393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hyperlink" Target="#'Working Sheet'!A1"/><Relationship Id="rId1" Type="http://schemas.openxmlformats.org/officeDocument/2006/relationships/hyperlink" Target="#Check_On_Calander!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hyperlink" Target="#Book_Office_Room!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14</xdr:col>
      <xdr:colOff>190500</xdr:colOff>
      <xdr:row>2</xdr:row>
      <xdr:rowOff>123826</xdr:rowOff>
    </xdr:from>
    <xdr:to>
      <xdr:col>17</xdr:col>
      <xdr:colOff>142875</xdr:colOff>
      <xdr:row>5</xdr:row>
      <xdr:rowOff>123826</xdr:rowOff>
    </xdr:to>
    <xdr:sp macro="[0]!RefreshButton" textlink="">
      <xdr:nvSpPr>
        <xdr:cNvPr id="11" name="Rounded Rectangle 10">
          <a:extLst>
            <a:ext uri="{FF2B5EF4-FFF2-40B4-BE49-F238E27FC236}">
              <a16:creationId xmlns:a16="http://schemas.microsoft.com/office/drawing/2014/main" id="{00000000-0008-0000-0000-00000B000000}"/>
            </a:ext>
          </a:extLst>
        </xdr:cNvPr>
        <xdr:cNvSpPr/>
      </xdr:nvSpPr>
      <xdr:spPr>
        <a:xfrm>
          <a:off x="10210800" y="504826"/>
          <a:ext cx="1781175" cy="571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latin typeface="Arial Black" panose="020B0A04020102020204" pitchFamily="34" charset="0"/>
            </a:rPr>
            <a:t>Refresh</a:t>
          </a:r>
          <a:r>
            <a:rPr lang="en-IN" sz="1100">
              <a:latin typeface="Arial Black" panose="020B0A04020102020204" pitchFamily="34" charset="0"/>
            </a:rPr>
            <a:t>	</a:t>
          </a:r>
        </a:p>
      </xdr:txBody>
    </xdr:sp>
    <xdr:clientData/>
  </xdr:twoCellAnchor>
  <xdr:twoCellAnchor>
    <xdr:from>
      <xdr:col>0</xdr:col>
      <xdr:colOff>133349</xdr:colOff>
      <xdr:row>2</xdr:row>
      <xdr:rowOff>19050</xdr:rowOff>
    </xdr:from>
    <xdr:to>
      <xdr:col>6</xdr:col>
      <xdr:colOff>400050</xdr:colOff>
      <xdr:row>14</xdr:row>
      <xdr:rowOff>142875</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476250</xdr:colOff>
      <xdr:row>2</xdr:row>
      <xdr:rowOff>28575</xdr:rowOff>
    </xdr:from>
    <xdr:to>
      <xdr:col>14</xdr:col>
      <xdr:colOff>38099</xdr:colOff>
      <xdr:row>14</xdr:row>
      <xdr:rowOff>142875</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409574</xdr:colOff>
      <xdr:row>15</xdr:row>
      <xdr:rowOff>14288</xdr:rowOff>
    </xdr:from>
    <xdr:to>
      <xdr:col>10</xdr:col>
      <xdr:colOff>600075</xdr:colOff>
      <xdr:row>24</xdr:row>
      <xdr:rowOff>47626</xdr:rowOff>
    </xdr:to>
    <mc:AlternateContent xmlns:mc="http://schemas.openxmlformats.org/markup-compatibility/2006" xmlns:a14="http://schemas.microsoft.com/office/drawing/2010/main">
      <mc:Choice Requires="a14">
        <xdr:graphicFrame macro="">
          <xdr:nvGraphicFramePr>
            <xdr:cNvPr id="6" name="Location ">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Location "/>
            </a:graphicData>
          </a:graphic>
        </xdr:graphicFrame>
      </mc:Choice>
      <mc:Fallback xmlns="">
        <xdr:sp macro="" textlink="">
          <xdr:nvSpPr>
            <xdr:cNvPr id="0" name=""/>
            <xdr:cNvSpPr>
              <a:spLocks noTextEdit="1"/>
            </xdr:cNvSpPr>
          </xdr:nvSpPr>
          <xdr:spPr>
            <a:xfrm>
              <a:off x="6162674" y="2871788"/>
              <a:ext cx="2019301" cy="17478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47625</xdr:colOff>
      <xdr:row>15</xdr:row>
      <xdr:rowOff>23815</xdr:rowOff>
    </xdr:from>
    <xdr:to>
      <xdr:col>14</xdr:col>
      <xdr:colOff>47625</xdr:colOff>
      <xdr:row>24</xdr:row>
      <xdr:rowOff>47626</xdr:rowOff>
    </xdr:to>
    <mc:AlternateContent xmlns:mc="http://schemas.openxmlformats.org/markup-compatibility/2006" xmlns:a14="http://schemas.microsoft.com/office/drawing/2010/main">
      <mc:Choice Requires="a14">
        <xdr:graphicFrame macro="">
          <xdr:nvGraphicFramePr>
            <xdr:cNvPr id="7" name="Office Nam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Office Name"/>
            </a:graphicData>
          </a:graphic>
        </xdr:graphicFrame>
      </mc:Choice>
      <mc:Fallback xmlns="">
        <xdr:sp macro="" textlink="">
          <xdr:nvSpPr>
            <xdr:cNvPr id="0" name=""/>
            <xdr:cNvSpPr>
              <a:spLocks noTextEdit="1"/>
            </xdr:cNvSpPr>
          </xdr:nvSpPr>
          <xdr:spPr>
            <a:xfrm>
              <a:off x="8239125" y="2881315"/>
              <a:ext cx="1828800" cy="17383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152399</xdr:colOff>
      <xdr:row>15</xdr:row>
      <xdr:rowOff>0</xdr:rowOff>
    </xdr:from>
    <xdr:to>
      <xdr:col>7</xdr:col>
      <xdr:colOff>352424</xdr:colOff>
      <xdr:row>28</xdr:row>
      <xdr:rowOff>47625</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2400" y="2857500"/>
              <a:ext cx="6019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1098175</xdr:colOff>
      <xdr:row>0</xdr:row>
      <xdr:rowOff>95250</xdr:rowOff>
    </xdr:from>
    <xdr:to>
      <xdr:col>11</xdr:col>
      <xdr:colOff>212912</xdr:colOff>
      <xdr:row>3</xdr:row>
      <xdr:rowOff>151279</xdr:rowOff>
    </xdr:to>
    <xdr:sp macro="" textlink="">
      <xdr:nvSpPr>
        <xdr:cNvPr id="8" name="Round Diagonal Corner Rectangle 7">
          <a:extLst>
            <a:ext uri="{FF2B5EF4-FFF2-40B4-BE49-F238E27FC236}">
              <a16:creationId xmlns:a16="http://schemas.microsoft.com/office/drawing/2014/main" id="{00000000-0008-0000-0100-000008000000}"/>
            </a:ext>
          </a:extLst>
        </xdr:cNvPr>
        <xdr:cNvSpPr/>
      </xdr:nvSpPr>
      <xdr:spPr>
        <a:xfrm>
          <a:off x="3328146" y="95250"/>
          <a:ext cx="7933766" cy="526676"/>
        </a:xfrm>
        <a:prstGeom prst="round2DiagRect">
          <a:avLst/>
        </a:prstGeom>
        <a:solidFill>
          <a:schemeClr val="bg1">
            <a:lumMod val="65000"/>
          </a:schemeClr>
        </a:solidFill>
        <a:ln>
          <a:noFill/>
        </a:ln>
        <a:effectLst>
          <a:innerShdw blurRad="63500" dist="50800" dir="13500000">
            <a:prstClr val="black">
              <a:alpha val="50000"/>
            </a:prstClr>
          </a:innerShdw>
          <a:reflection blurRad="6350" stA="52000" endA="300" endPos="35000" dir="5400000" sy="-100000" algn="bl" rotWithShape="0"/>
          <a:softEdge rad="63500"/>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IN" sz="2800">
              <a:latin typeface="Berlin Sans FB" panose="020E0602020502020306" pitchFamily="34" charset="0"/>
            </a:rPr>
            <a:t>Book Training &amp; Conference Of </a:t>
          </a:r>
          <a:r>
            <a:rPr lang="en-IN" sz="2800" baseline="0">
              <a:latin typeface="Berlin Sans FB" panose="020E0602020502020306" pitchFamily="34" charset="0"/>
            </a:rPr>
            <a:t>Office's</a:t>
          </a:r>
          <a:endParaRPr lang="en-IN" sz="2800">
            <a:latin typeface="Berlin Sans FB" panose="020E0602020502020306" pitchFamily="34" charset="0"/>
          </a:endParaRPr>
        </a:p>
      </xdr:txBody>
    </xdr:sp>
    <xdr:clientData/>
  </xdr:twoCellAnchor>
  <xdr:twoCellAnchor>
    <xdr:from>
      <xdr:col>3</xdr:col>
      <xdr:colOff>1419946</xdr:colOff>
      <xdr:row>3</xdr:row>
      <xdr:rowOff>237725</xdr:rowOff>
    </xdr:from>
    <xdr:to>
      <xdr:col>4</xdr:col>
      <xdr:colOff>1619250</xdr:colOff>
      <xdr:row>3</xdr:row>
      <xdr:rowOff>762000</xdr:rowOff>
    </xdr:to>
    <xdr:sp macro="" textlink="">
      <xdr:nvSpPr>
        <xdr:cNvPr id="10" name="Flowchart: Alternate Process 9">
          <a:extLst>
            <a:ext uri="{FF2B5EF4-FFF2-40B4-BE49-F238E27FC236}">
              <a16:creationId xmlns:a16="http://schemas.microsoft.com/office/drawing/2014/main" id="{00000000-0008-0000-0100-00000A000000}"/>
            </a:ext>
          </a:extLst>
        </xdr:cNvPr>
        <xdr:cNvSpPr/>
      </xdr:nvSpPr>
      <xdr:spPr>
        <a:xfrm>
          <a:off x="3665125" y="727582"/>
          <a:ext cx="3029589" cy="524275"/>
        </a:xfrm>
        <a:prstGeom prst="flowChartAlternateProcess">
          <a:avLst/>
        </a:prstGeom>
        <a:solidFill>
          <a:schemeClr val="bg1">
            <a:lumMod val="65000"/>
          </a:schemeClr>
        </a:solidFill>
        <a:effectLst>
          <a:reflection blurRad="6350" stA="52000" endA="300" endPos="35000" dir="5400000" sy="-100000" algn="bl" rotWithShape="0"/>
          <a:softEdge rad="63500"/>
        </a:effectLst>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IN" sz="1800">
              <a:latin typeface="Berlin Sans FB" panose="020E0602020502020306" pitchFamily="34" charset="0"/>
            </a:rPr>
            <a:t>Book</a:t>
          </a:r>
          <a:r>
            <a:rPr lang="en-IN" sz="1800" baseline="0">
              <a:latin typeface="Berlin Sans FB" panose="020E0602020502020306" pitchFamily="34" charset="0"/>
            </a:rPr>
            <a:t> Your Room</a:t>
          </a:r>
          <a:endParaRPr lang="en-IN" sz="1800">
            <a:latin typeface="Berlin Sans FB" panose="020E0602020502020306" pitchFamily="34" charset="0"/>
          </a:endParaRPr>
        </a:p>
      </xdr:txBody>
    </xdr:sp>
    <xdr:clientData/>
  </xdr:twoCellAnchor>
  <xdr:twoCellAnchor>
    <xdr:from>
      <xdr:col>7</xdr:col>
      <xdr:colOff>16810</xdr:colOff>
      <xdr:row>6</xdr:row>
      <xdr:rowOff>36819</xdr:rowOff>
    </xdr:from>
    <xdr:to>
      <xdr:col>8</xdr:col>
      <xdr:colOff>739587</xdr:colOff>
      <xdr:row>7</xdr:row>
      <xdr:rowOff>56030</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5E4D98BE-95D1-2F5B-5CD1-2F3673E60BEC}"/>
            </a:ext>
          </a:extLst>
        </xdr:cNvPr>
        <xdr:cNvSpPr/>
      </xdr:nvSpPr>
      <xdr:spPr>
        <a:xfrm>
          <a:off x="7827310" y="2177143"/>
          <a:ext cx="1327895" cy="33297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tx1"/>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2400">
              <a:solidFill>
                <a:schemeClr val="tx1"/>
              </a:solidFill>
            </a:rPr>
            <a:t>Calander</a:t>
          </a:r>
        </a:p>
      </xdr:txBody>
    </xdr:sp>
    <xdr:clientData/>
  </xdr:twoCellAnchor>
  <xdr:twoCellAnchor>
    <xdr:from>
      <xdr:col>7</xdr:col>
      <xdr:colOff>19211</xdr:colOff>
      <xdr:row>10</xdr:row>
      <xdr:rowOff>53630</xdr:rowOff>
    </xdr:from>
    <xdr:to>
      <xdr:col>8</xdr:col>
      <xdr:colOff>1064559</xdr:colOff>
      <xdr:row>11</xdr:row>
      <xdr:rowOff>56030</xdr:rowOff>
    </xdr:to>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92DFEDB7-6EEF-5311-455A-F17A297A407A}"/>
            </a:ext>
          </a:extLst>
        </xdr:cNvPr>
        <xdr:cNvSpPr/>
      </xdr:nvSpPr>
      <xdr:spPr>
        <a:xfrm>
          <a:off x="7829711" y="3449012"/>
          <a:ext cx="1650466" cy="31616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2400">
              <a:solidFill>
                <a:schemeClr val="tx1"/>
              </a:solidFill>
            </a:rPr>
            <a:t>WorkSheet</a:t>
          </a:r>
        </a:p>
      </xdr:txBody>
    </xdr:sp>
    <xdr:clientData/>
  </xdr:twoCellAnchor>
  <mc:AlternateContent xmlns:mc="http://schemas.openxmlformats.org/markup-compatibility/2006">
    <mc:Choice xmlns:a14="http://schemas.microsoft.com/office/drawing/2010/main" Requires="a14">
      <xdr:twoCellAnchor editAs="oneCell">
        <xdr:from>
          <xdr:col>7</xdr:col>
          <xdr:colOff>20813</xdr:colOff>
          <xdr:row>13</xdr:row>
          <xdr:rowOff>227319</xdr:rowOff>
        </xdr:from>
        <xdr:to>
          <xdr:col>8</xdr:col>
          <xdr:colOff>560295</xdr:colOff>
          <xdr:row>15</xdr:row>
          <xdr:rowOff>209959</xdr:rowOff>
        </xdr:to>
        <xdr:pic macro="[0]!BookingMacro">
          <xdr:nvPicPr>
            <xdr:cNvPr id="15" name="Picture 14">
              <a:extLst>
                <a:ext uri="{FF2B5EF4-FFF2-40B4-BE49-F238E27FC236}">
                  <a16:creationId xmlns:a16="http://schemas.microsoft.com/office/drawing/2014/main" id="{0065F9E0-008D-DCB3-3A30-AAA69158FE97}"/>
                </a:ext>
              </a:extLst>
            </xdr:cNvPr>
            <xdr:cNvPicPr>
              <a:picLocks noChangeAspect="1" noChangeArrowheads="1"/>
              <a:extLst>
                <a:ext uri="{84589F7E-364E-4C9E-8A38-B11213B215E9}">
                  <a14:cameraTool cellRange="$V$15" spid="_x0000_s2182"/>
                </a:ext>
              </a:extLst>
            </xdr:cNvPicPr>
          </xdr:nvPicPr>
          <xdr:blipFill>
            <a:blip xmlns:r="http://schemas.openxmlformats.org/officeDocument/2006/relationships" r:embed="rId3"/>
            <a:srcRect/>
            <a:stretch>
              <a:fillRect/>
            </a:stretch>
          </xdr:blipFill>
          <xdr:spPr bwMode="auto">
            <a:xfrm>
              <a:off x="7831313" y="4563995"/>
              <a:ext cx="1144600" cy="610170"/>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a:scene3d>
              <a:camera prst="orthographicFront"/>
              <a:lightRig rig="threePt" dir="t"/>
            </a:scene3d>
            <a:sp3d>
              <a:bevelT/>
            </a:sp3d>
          </xdr:spPr>
        </xdr:pic>
        <xdr:clientData/>
      </xdr:twoCellAnchor>
    </mc:Choice>
    <mc:Fallback/>
  </mc:AlternateContent>
  <xdr:twoCellAnchor editAs="oneCell">
    <xdr:from>
      <xdr:col>1</xdr:col>
      <xdr:colOff>33619</xdr:colOff>
      <xdr:row>0</xdr:row>
      <xdr:rowOff>0</xdr:rowOff>
    </xdr:from>
    <xdr:to>
      <xdr:col>3</xdr:col>
      <xdr:colOff>403412</xdr:colOff>
      <xdr:row>3</xdr:row>
      <xdr:rowOff>982158</xdr:rowOff>
    </xdr:to>
    <xdr:pic>
      <xdr:nvPicPr>
        <xdr:cNvPr id="2" name="Picture 1">
          <a:extLst>
            <a:ext uri="{FF2B5EF4-FFF2-40B4-BE49-F238E27FC236}">
              <a16:creationId xmlns:a16="http://schemas.microsoft.com/office/drawing/2014/main" id="{E7777580-625F-C056-0EC3-1E0C778C2A9D}"/>
            </a:ext>
          </a:extLst>
        </xdr:cNvPr>
        <xdr:cNvPicPr>
          <a:picLocks noChangeAspect="1"/>
        </xdr:cNvPicPr>
      </xdr:nvPicPr>
      <xdr:blipFill>
        <a:blip xmlns:r="http://schemas.openxmlformats.org/officeDocument/2006/relationships" r:embed="rId4"/>
        <a:stretch>
          <a:fillRect/>
        </a:stretch>
      </xdr:blipFill>
      <xdr:spPr>
        <a:xfrm>
          <a:off x="414619" y="0"/>
          <a:ext cx="2218764" cy="14528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2276103</xdr:colOff>
      <xdr:row>0</xdr:row>
      <xdr:rowOff>305542</xdr:rowOff>
    </xdr:from>
    <xdr:to>
      <xdr:col>15</xdr:col>
      <xdr:colOff>1891391</xdr:colOff>
      <xdr:row>0</xdr:row>
      <xdr:rowOff>1516577</xdr:rowOff>
    </xdr:to>
    <xdr:sp macro="" textlink="">
      <xdr:nvSpPr>
        <xdr:cNvPr id="2" name="Flowchart: Alternate Process 1">
          <a:extLst>
            <a:ext uri="{FF2B5EF4-FFF2-40B4-BE49-F238E27FC236}">
              <a16:creationId xmlns:a16="http://schemas.microsoft.com/office/drawing/2014/main" id="{A087E392-6678-448A-AA9E-8842296D8335}"/>
            </a:ext>
          </a:extLst>
        </xdr:cNvPr>
        <xdr:cNvSpPr/>
      </xdr:nvSpPr>
      <xdr:spPr>
        <a:xfrm>
          <a:off x="8198921" y="305542"/>
          <a:ext cx="16344652" cy="1211035"/>
        </a:xfrm>
        <a:prstGeom prst="flowChartAlternateProcess">
          <a:avLst/>
        </a:prstGeom>
        <a:solidFill>
          <a:schemeClr val="bg1">
            <a:lumMod val="65000"/>
          </a:schemeClr>
        </a:solidFill>
        <a:effectLst>
          <a:reflection blurRad="6350" stA="52000" endA="300" endPos="35000" dir="5400000" sy="-100000" algn="bl" rotWithShape="0"/>
          <a:softEdge rad="63500"/>
        </a:effectLst>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IN" sz="2400">
              <a:solidFill>
                <a:schemeClr val="tx1"/>
              </a:solidFill>
              <a:latin typeface="Berlin Sans FB" panose="020E0602020502020306" pitchFamily="34" charset="0"/>
            </a:rPr>
            <a:t>Check Your</a:t>
          </a:r>
          <a:r>
            <a:rPr lang="en-IN" sz="2400" baseline="0">
              <a:solidFill>
                <a:schemeClr val="tx1"/>
              </a:solidFill>
              <a:latin typeface="Berlin Sans FB" panose="020E0602020502020306" pitchFamily="34" charset="0"/>
            </a:rPr>
            <a:t> Booking In Calaender</a:t>
          </a:r>
          <a:endParaRPr lang="en-IN" sz="1100">
            <a:solidFill>
              <a:schemeClr val="tx1"/>
            </a:solidFill>
            <a:latin typeface="Berlin Sans FB" panose="020E0602020502020306" pitchFamily="34" charset="0"/>
          </a:endParaRPr>
        </a:p>
      </xdr:txBody>
    </xdr:sp>
    <xdr:clientData/>
  </xdr:twoCellAnchor>
  <xdr:twoCellAnchor>
    <xdr:from>
      <xdr:col>0</xdr:col>
      <xdr:colOff>0</xdr:colOff>
      <xdr:row>0</xdr:row>
      <xdr:rowOff>381000</xdr:rowOff>
    </xdr:from>
    <xdr:to>
      <xdr:col>3</xdr:col>
      <xdr:colOff>2043545</xdr:colOff>
      <xdr:row>0</xdr:row>
      <xdr:rowOff>1489364</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id="{7CD1C264-ABF9-D88B-E1E7-DBF722F9447A}"/>
            </a:ext>
          </a:extLst>
        </xdr:cNvPr>
        <xdr:cNvSpPr/>
      </xdr:nvSpPr>
      <xdr:spPr>
        <a:xfrm>
          <a:off x="0" y="381000"/>
          <a:ext cx="3654136" cy="1108364"/>
        </a:xfrm>
        <a:prstGeom prst="flowChartAlternateProcess">
          <a:avLst/>
        </a:prstGeom>
        <a:solidFill>
          <a:schemeClr val="bg1">
            <a:lumMod val="65000"/>
          </a:schemeClr>
        </a:solidFill>
        <a:effectLst>
          <a:softEdge rad="127000"/>
        </a:effectLst>
        <a:scene3d>
          <a:camera prst="perspectiveContrastingRightFacing"/>
          <a:lightRig rig="threePt" dir="t"/>
        </a:scene3d>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n-IN" sz="3600">
              <a:solidFill>
                <a:schemeClr val="tx1"/>
              </a:solidFill>
              <a:latin typeface="Berlin Sans FB" panose="020E0602020502020306" pitchFamily="34" charset="0"/>
              <a:ea typeface="+mn-ea"/>
              <a:cs typeface="+mn-cs"/>
            </a:rPr>
            <a:t>Back To Home</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ny%20year%20one-month%20calenda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s>
    <definedNames>
      <definedName name="calendar" sheetId="0"/>
      <definedName name="firstdate" sheetId="0"/>
      <definedName name="MonthToDisplay" sheetId="0"/>
      <definedName name="MonthToDisplayNumber" sheetId="0"/>
      <definedName name="YearToDisplay" sheetId="0"/>
    </definedNames>
    <sheetDataSet>
      <sheetData sheetId="0">
        <row r="1">
          <cell r="B1">
            <v>2024</v>
          </cell>
        </row>
      </sheetData>
    </sheetDataSet>
  </externalBook>
</externalLink>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Working%20Conference-Traning%20Room%20Booking%20Tracking.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337.831931712964" createdVersion="6" refreshedVersion="6" minRefreshableVersion="3" recordCount="175" xr:uid="{00000000-000A-0000-FFFF-FFFF0B000000}">
  <cacheSource type="worksheet">
    <worksheetSource ref="A1:L176" sheet="Working Sheet" r:id="rId2"/>
  </cacheSource>
  <cacheFields count="12">
    <cacheField name="Sr. No" numFmtId="0">
      <sharedItems containsSemiMixedTypes="0" containsString="0" containsNumber="1" containsInteger="1" minValue="-1" maxValue="173"/>
    </cacheField>
    <cacheField name="Date" numFmtId="0">
      <sharedItems containsNonDate="0" containsDate="1" containsString="0" containsBlank="1" minDate="2024-04-04T00:00:00" maxDate="2024-07-05T00:00:00" count="6">
        <d v="2024-07-04T00:00:00"/>
        <d v="2024-04-23T00:00:00"/>
        <d v="2024-04-04T00:00:00"/>
        <d v="2024-04-05T00:00:00"/>
        <d v="2024-05-04T00:00:00"/>
        <m/>
      </sharedItems>
    </cacheField>
    <cacheField name="Month" numFmtId="0">
      <sharedItems containsBlank="1" count="5">
        <s v="July"/>
        <s v="April"/>
        <s v="May"/>
        <m/>
        <s v=" "/>
      </sharedItems>
    </cacheField>
    <cacheField name="Day" numFmtId="0">
      <sharedItems containsBlank="1"/>
    </cacheField>
    <cacheField name="Office Name" numFmtId="14">
      <sharedItems containsBlank="1" count="3">
        <s v="Mantri Office"/>
        <s v="WTC Office"/>
        <m/>
      </sharedItems>
    </cacheField>
    <cacheField name="Booking Confirmation Name " numFmtId="0">
      <sharedItems containsBlank="1"/>
    </cacheField>
    <cacheField name="Location " numFmtId="0">
      <sharedItems containsBlank="1" count="5">
        <s v="Mantri (Training Room)"/>
        <s v="Mantri (Conference Room)"/>
        <s v="WTC (Conference Room)"/>
        <s v="WTC (Training Room)"/>
        <m/>
      </sharedItems>
    </cacheField>
    <cacheField name="Booking Timing IN" numFmtId="164">
      <sharedItems containsBlank="1"/>
    </cacheField>
    <cacheField name="Booking Timing Out" numFmtId="164">
      <sharedItems containsBlank="1"/>
    </cacheField>
    <cacheField name="Total Hours" numFmtId="0">
      <sharedItems containsString="0" containsBlank="1" containsNumber="1" minValue="0" maxValue="2"/>
    </cacheField>
    <cacheField name="Done by Admin " numFmtId="0">
      <sharedItems containsBlank="1" containsMixedTypes="1" containsNumber="1" containsInteger="1" minValue="232" maxValue="232"/>
    </cacheField>
    <cacheField name="Admin Coordinator No." numFmtId="0">
      <sharedItems containsBlank="1" containsMixedTypes="1" containsNumber="1" containsInteger="1" minValue="232" maxValue="5452164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75">
  <r>
    <n v="-1"/>
    <x v="0"/>
    <x v="0"/>
    <s v="Thursday"/>
    <x v="0"/>
    <s v="subham03"/>
    <x v="0"/>
    <s v="3:30 AM"/>
    <s v="4:30 AM"/>
    <n v="0.99999999999999978"/>
    <s v="subham03"/>
    <s v="subham03"/>
  </r>
  <r>
    <n v="0"/>
    <x v="1"/>
    <x v="1"/>
    <s v="Tuesday"/>
    <x v="1"/>
    <s v="subham0001"/>
    <x v="0"/>
    <s v="3:00 AM"/>
    <s v="3:30 AM"/>
    <n v="0.50000000000000022"/>
    <s v="subham0001"/>
    <s v="subham0001"/>
  </r>
  <r>
    <n v="1"/>
    <x v="2"/>
    <x v="1"/>
    <s v="Thursday"/>
    <x v="1"/>
    <s v="prakash"/>
    <x v="0"/>
    <s v="2:00 AM"/>
    <s v="2:30 AM"/>
    <n v="0.50000000000000022"/>
    <n v="232"/>
    <n v="232"/>
  </r>
  <r>
    <n v="2"/>
    <x v="2"/>
    <x v="1"/>
    <s v="Thursday"/>
    <x v="0"/>
    <s v="subham1112"/>
    <x v="1"/>
    <s v="3:30 AM"/>
    <s v="4:00 AM"/>
    <n v="0.49999999999999956"/>
    <s v="qaz"/>
    <n v="5645464"/>
  </r>
  <r>
    <n v="3"/>
    <x v="2"/>
    <x v="1"/>
    <s v="Thursday"/>
    <x v="0"/>
    <s v="suuubham"/>
    <x v="0"/>
    <s v="1:30 AM"/>
    <s v="2:30 AM"/>
    <n v="1"/>
    <s v="subham12"/>
    <n v="54521645"/>
  </r>
  <r>
    <n v="4"/>
    <x v="3"/>
    <x v="1"/>
    <s v="Friday"/>
    <x v="1"/>
    <s v="subham123"/>
    <x v="2"/>
    <s v="2:00 AM"/>
    <s v="4:00 AM"/>
    <n v="2"/>
    <s v="qaza"/>
    <n v="4458235"/>
  </r>
  <r>
    <n v="5"/>
    <x v="4"/>
    <x v="2"/>
    <s v="Saturday"/>
    <x v="1"/>
    <s v="subham09"/>
    <x v="3"/>
    <s v="3:30 AM"/>
    <s v="4:00 AM"/>
    <n v="0.49999999999999956"/>
    <s v="subhamfdf"/>
    <n v="5548954"/>
  </r>
  <r>
    <n v="6"/>
    <x v="5"/>
    <x v="3"/>
    <m/>
    <x v="2"/>
    <m/>
    <x v="4"/>
    <m/>
    <m/>
    <m/>
    <m/>
    <m/>
  </r>
  <r>
    <n v="7"/>
    <x v="5"/>
    <x v="3"/>
    <m/>
    <x v="2"/>
    <m/>
    <x v="4"/>
    <m/>
    <m/>
    <m/>
    <m/>
    <m/>
  </r>
  <r>
    <n v="8"/>
    <x v="5"/>
    <x v="3"/>
    <m/>
    <x v="2"/>
    <m/>
    <x v="4"/>
    <m/>
    <m/>
    <m/>
    <m/>
    <m/>
  </r>
  <r>
    <n v="9"/>
    <x v="5"/>
    <x v="3"/>
    <m/>
    <x v="2"/>
    <m/>
    <x v="4"/>
    <m/>
    <m/>
    <m/>
    <m/>
    <m/>
  </r>
  <r>
    <n v="10"/>
    <x v="5"/>
    <x v="3"/>
    <m/>
    <x v="2"/>
    <m/>
    <x v="4"/>
    <m/>
    <m/>
    <m/>
    <m/>
    <m/>
  </r>
  <r>
    <n v="11"/>
    <x v="5"/>
    <x v="3"/>
    <m/>
    <x v="2"/>
    <m/>
    <x v="4"/>
    <m/>
    <m/>
    <m/>
    <m/>
    <m/>
  </r>
  <r>
    <n v="12"/>
    <x v="5"/>
    <x v="3"/>
    <m/>
    <x v="2"/>
    <m/>
    <x v="4"/>
    <m/>
    <m/>
    <m/>
    <m/>
    <m/>
  </r>
  <r>
    <n v="13"/>
    <x v="5"/>
    <x v="3"/>
    <m/>
    <x v="2"/>
    <m/>
    <x v="4"/>
    <m/>
    <m/>
    <m/>
    <m/>
    <m/>
  </r>
  <r>
    <n v="14"/>
    <x v="5"/>
    <x v="3"/>
    <m/>
    <x v="2"/>
    <m/>
    <x v="4"/>
    <m/>
    <m/>
    <m/>
    <m/>
    <m/>
  </r>
  <r>
    <n v="15"/>
    <x v="5"/>
    <x v="3"/>
    <m/>
    <x v="2"/>
    <m/>
    <x v="4"/>
    <m/>
    <m/>
    <m/>
    <m/>
    <m/>
  </r>
  <r>
    <n v="16"/>
    <x v="5"/>
    <x v="3"/>
    <m/>
    <x v="2"/>
    <m/>
    <x v="4"/>
    <m/>
    <m/>
    <m/>
    <m/>
    <m/>
  </r>
  <r>
    <n v="17"/>
    <x v="5"/>
    <x v="3"/>
    <m/>
    <x v="2"/>
    <m/>
    <x v="4"/>
    <m/>
    <m/>
    <m/>
    <m/>
    <m/>
  </r>
  <r>
    <n v="18"/>
    <x v="5"/>
    <x v="3"/>
    <m/>
    <x v="2"/>
    <m/>
    <x v="4"/>
    <m/>
    <m/>
    <m/>
    <m/>
    <m/>
  </r>
  <r>
    <n v="19"/>
    <x v="5"/>
    <x v="3"/>
    <m/>
    <x v="2"/>
    <m/>
    <x v="4"/>
    <m/>
    <m/>
    <m/>
    <m/>
    <m/>
  </r>
  <r>
    <n v="20"/>
    <x v="5"/>
    <x v="3"/>
    <m/>
    <x v="2"/>
    <m/>
    <x v="4"/>
    <m/>
    <m/>
    <m/>
    <m/>
    <m/>
  </r>
  <r>
    <n v="21"/>
    <x v="5"/>
    <x v="4"/>
    <s v=" "/>
    <x v="2"/>
    <m/>
    <x v="4"/>
    <m/>
    <m/>
    <n v="0"/>
    <m/>
    <m/>
  </r>
  <r>
    <n v="22"/>
    <x v="5"/>
    <x v="4"/>
    <s v=" "/>
    <x v="2"/>
    <m/>
    <x v="4"/>
    <m/>
    <m/>
    <n v="0"/>
    <m/>
    <m/>
  </r>
  <r>
    <n v="23"/>
    <x v="5"/>
    <x v="4"/>
    <s v=" "/>
    <x v="2"/>
    <m/>
    <x v="4"/>
    <m/>
    <m/>
    <n v="0"/>
    <m/>
    <m/>
  </r>
  <r>
    <n v="24"/>
    <x v="5"/>
    <x v="4"/>
    <s v=" "/>
    <x v="2"/>
    <m/>
    <x v="4"/>
    <m/>
    <m/>
    <n v="0"/>
    <m/>
    <m/>
  </r>
  <r>
    <n v="25"/>
    <x v="5"/>
    <x v="4"/>
    <s v=" "/>
    <x v="2"/>
    <m/>
    <x v="4"/>
    <m/>
    <m/>
    <n v="0"/>
    <m/>
    <m/>
  </r>
  <r>
    <n v="26"/>
    <x v="5"/>
    <x v="4"/>
    <s v=" "/>
    <x v="2"/>
    <m/>
    <x v="4"/>
    <m/>
    <m/>
    <n v="0"/>
    <m/>
    <m/>
  </r>
  <r>
    <n v="27"/>
    <x v="5"/>
    <x v="4"/>
    <s v=" "/>
    <x v="2"/>
    <m/>
    <x v="4"/>
    <m/>
    <m/>
    <n v="0"/>
    <m/>
    <m/>
  </r>
  <r>
    <n v="28"/>
    <x v="5"/>
    <x v="4"/>
    <s v=" "/>
    <x v="2"/>
    <m/>
    <x v="4"/>
    <m/>
    <m/>
    <n v="0"/>
    <m/>
    <m/>
  </r>
  <r>
    <n v="29"/>
    <x v="5"/>
    <x v="4"/>
    <s v=" "/>
    <x v="2"/>
    <m/>
    <x v="4"/>
    <m/>
    <m/>
    <n v="0"/>
    <m/>
    <m/>
  </r>
  <r>
    <n v="30"/>
    <x v="5"/>
    <x v="4"/>
    <s v=" "/>
    <x v="2"/>
    <m/>
    <x v="4"/>
    <m/>
    <m/>
    <n v="0"/>
    <m/>
    <m/>
  </r>
  <r>
    <n v="31"/>
    <x v="5"/>
    <x v="4"/>
    <s v=" "/>
    <x v="2"/>
    <m/>
    <x v="4"/>
    <m/>
    <m/>
    <n v="0"/>
    <m/>
    <m/>
  </r>
  <r>
    <n v="32"/>
    <x v="5"/>
    <x v="4"/>
    <s v=" "/>
    <x v="2"/>
    <m/>
    <x v="4"/>
    <m/>
    <m/>
    <n v="0"/>
    <m/>
    <m/>
  </r>
  <r>
    <n v="33"/>
    <x v="5"/>
    <x v="4"/>
    <s v=" "/>
    <x v="2"/>
    <m/>
    <x v="4"/>
    <m/>
    <m/>
    <n v="0"/>
    <m/>
    <m/>
  </r>
  <r>
    <n v="34"/>
    <x v="5"/>
    <x v="4"/>
    <s v=" "/>
    <x v="2"/>
    <m/>
    <x v="4"/>
    <m/>
    <m/>
    <n v="0"/>
    <m/>
    <m/>
  </r>
  <r>
    <n v="35"/>
    <x v="5"/>
    <x v="4"/>
    <s v=" "/>
    <x v="2"/>
    <m/>
    <x v="4"/>
    <m/>
    <m/>
    <n v="0"/>
    <m/>
    <m/>
  </r>
  <r>
    <n v="36"/>
    <x v="5"/>
    <x v="4"/>
    <s v=" "/>
    <x v="2"/>
    <m/>
    <x v="4"/>
    <m/>
    <m/>
    <n v="0"/>
    <m/>
    <m/>
  </r>
  <r>
    <n v="37"/>
    <x v="5"/>
    <x v="4"/>
    <s v=" "/>
    <x v="2"/>
    <m/>
    <x v="4"/>
    <m/>
    <m/>
    <n v="0"/>
    <m/>
    <m/>
  </r>
  <r>
    <n v="38"/>
    <x v="5"/>
    <x v="4"/>
    <s v=" "/>
    <x v="2"/>
    <m/>
    <x v="4"/>
    <m/>
    <m/>
    <n v="0"/>
    <m/>
    <m/>
  </r>
  <r>
    <n v="39"/>
    <x v="5"/>
    <x v="4"/>
    <s v=" "/>
    <x v="2"/>
    <m/>
    <x v="4"/>
    <m/>
    <m/>
    <n v="0"/>
    <m/>
    <m/>
  </r>
  <r>
    <n v="40"/>
    <x v="5"/>
    <x v="4"/>
    <s v=" "/>
    <x v="2"/>
    <m/>
    <x v="4"/>
    <m/>
    <m/>
    <n v="0"/>
    <m/>
    <m/>
  </r>
  <r>
    <n v="41"/>
    <x v="5"/>
    <x v="4"/>
    <s v=" "/>
    <x v="2"/>
    <m/>
    <x v="4"/>
    <m/>
    <m/>
    <n v="0"/>
    <m/>
    <m/>
  </r>
  <r>
    <n v="42"/>
    <x v="5"/>
    <x v="4"/>
    <s v=" "/>
    <x v="2"/>
    <m/>
    <x v="4"/>
    <m/>
    <m/>
    <n v="0"/>
    <m/>
    <m/>
  </r>
  <r>
    <n v="43"/>
    <x v="5"/>
    <x v="4"/>
    <s v=" "/>
    <x v="2"/>
    <m/>
    <x v="4"/>
    <m/>
    <m/>
    <n v="0"/>
    <m/>
    <m/>
  </r>
  <r>
    <n v="44"/>
    <x v="5"/>
    <x v="4"/>
    <s v=" "/>
    <x v="2"/>
    <m/>
    <x v="4"/>
    <m/>
    <m/>
    <n v="0"/>
    <m/>
    <m/>
  </r>
  <r>
    <n v="45"/>
    <x v="5"/>
    <x v="4"/>
    <s v=" "/>
    <x v="2"/>
    <m/>
    <x v="4"/>
    <m/>
    <m/>
    <n v="0"/>
    <m/>
    <m/>
  </r>
  <r>
    <n v="46"/>
    <x v="5"/>
    <x v="4"/>
    <s v=" "/>
    <x v="2"/>
    <m/>
    <x v="4"/>
    <m/>
    <m/>
    <n v="0"/>
    <m/>
    <m/>
  </r>
  <r>
    <n v="47"/>
    <x v="5"/>
    <x v="4"/>
    <s v=" "/>
    <x v="2"/>
    <m/>
    <x v="4"/>
    <m/>
    <m/>
    <n v="0"/>
    <m/>
    <m/>
  </r>
  <r>
    <n v="48"/>
    <x v="5"/>
    <x v="4"/>
    <s v=" "/>
    <x v="2"/>
    <m/>
    <x v="4"/>
    <m/>
    <m/>
    <n v="0"/>
    <m/>
    <m/>
  </r>
  <r>
    <n v="49"/>
    <x v="5"/>
    <x v="4"/>
    <s v=" "/>
    <x v="2"/>
    <m/>
    <x v="4"/>
    <m/>
    <m/>
    <n v="0"/>
    <m/>
    <m/>
  </r>
  <r>
    <n v="50"/>
    <x v="5"/>
    <x v="4"/>
    <s v=" "/>
    <x v="2"/>
    <m/>
    <x v="4"/>
    <m/>
    <m/>
    <n v="0"/>
    <m/>
    <m/>
  </r>
  <r>
    <n v="51"/>
    <x v="5"/>
    <x v="4"/>
    <s v=" "/>
    <x v="2"/>
    <m/>
    <x v="4"/>
    <m/>
    <m/>
    <n v="0"/>
    <m/>
    <m/>
  </r>
  <r>
    <n v="52"/>
    <x v="5"/>
    <x v="4"/>
    <s v=" "/>
    <x v="2"/>
    <m/>
    <x v="4"/>
    <m/>
    <m/>
    <n v="0"/>
    <m/>
    <m/>
  </r>
  <r>
    <n v="53"/>
    <x v="5"/>
    <x v="4"/>
    <s v=" "/>
    <x v="2"/>
    <m/>
    <x v="4"/>
    <m/>
    <m/>
    <n v="0"/>
    <m/>
    <m/>
  </r>
  <r>
    <n v="54"/>
    <x v="5"/>
    <x v="4"/>
    <s v=" "/>
    <x v="2"/>
    <m/>
    <x v="4"/>
    <m/>
    <m/>
    <n v="0"/>
    <m/>
    <m/>
  </r>
  <r>
    <n v="55"/>
    <x v="5"/>
    <x v="4"/>
    <s v=" "/>
    <x v="2"/>
    <m/>
    <x v="4"/>
    <m/>
    <m/>
    <n v="0"/>
    <m/>
    <m/>
  </r>
  <r>
    <n v="56"/>
    <x v="5"/>
    <x v="4"/>
    <s v=" "/>
    <x v="2"/>
    <m/>
    <x v="4"/>
    <m/>
    <m/>
    <n v="0"/>
    <m/>
    <m/>
  </r>
  <r>
    <n v="57"/>
    <x v="5"/>
    <x v="4"/>
    <s v=" "/>
    <x v="2"/>
    <m/>
    <x v="4"/>
    <m/>
    <m/>
    <n v="0"/>
    <m/>
    <m/>
  </r>
  <r>
    <n v="58"/>
    <x v="5"/>
    <x v="4"/>
    <s v=" "/>
    <x v="2"/>
    <m/>
    <x v="4"/>
    <m/>
    <m/>
    <n v="0"/>
    <m/>
    <m/>
  </r>
  <r>
    <n v="59"/>
    <x v="5"/>
    <x v="4"/>
    <s v=" "/>
    <x v="2"/>
    <m/>
    <x v="4"/>
    <m/>
    <m/>
    <n v="0"/>
    <m/>
    <m/>
  </r>
  <r>
    <n v="60"/>
    <x v="5"/>
    <x v="4"/>
    <s v=" "/>
    <x v="2"/>
    <m/>
    <x v="4"/>
    <m/>
    <m/>
    <n v="0"/>
    <m/>
    <m/>
  </r>
  <r>
    <n v="61"/>
    <x v="5"/>
    <x v="4"/>
    <s v=" "/>
    <x v="2"/>
    <m/>
    <x v="4"/>
    <m/>
    <m/>
    <n v="0"/>
    <m/>
    <m/>
  </r>
  <r>
    <n v="62"/>
    <x v="5"/>
    <x v="4"/>
    <s v=" "/>
    <x v="2"/>
    <m/>
    <x v="4"/>
    <m/>
    <m/>
    <n v="0"/>
    <m/>
    <m/>
  </r>
  <r>
    <n v="63"/>
    <x v="5"/>
    <x v="4"/>
    <s v=" "/>
    <x v="2"/>
    <m/>
    <x v="4"/>
    <m/>
    <m/>
    <n v="0"/>
    <m/>
    <m/>
  </r>
  <r>
    <n v="64"/>
    <x v="5"/>
    <x v="4"/>
    <s v=" "/>
    <x v="2"/>
    <m/>
    <x v="4"/>
    <m/>
    <m/>
    <n v="0"/>
    <m/>
    <m/>
  </r>
  <r>
    <n v="65"/>
    <x v="5"/>
    <x v="4"/>
    <s v=" "/>
    <x v="2"/>
    <m/>
    <x v="4"/>
    <m/>
    <m/>
    <n v="0"/>
    <m/>
    <m/>
  </r>
  <r>
    <n v="66"/>
    <x v="5"/>
    <x v="4"/>
    <s v=" "/>
    <x v="2"/>
    <m/>
    <x v="4"/>
    <m/>
    <m/>
    <n v="0"/>
    <m/>
    <m/>
  </r>
  <r>
    <n v="67"/>
    <x v="5"/>
    <x v="4"/>
    <s v=" "/>
    <x v="2"/>
    <m/>
    <x v="4"/>
    <m/>
    <m/>
    <n v="0"/>
    <m/>
    <m/>
  </r>
  <r>
    <n v="68"/>
    <x v="5"/>
    <x v="4"/>
    <s v=" "/>
    <x v="2"/>
    <m/>
    <x v="4"/>
    <m/>
    <m/>
    <n v="0"/>
    <m/>
    <m/>
  </r>
  <r>
    <n v="69"/>
    <x v="5"/>
    <x v="4"/>
    <s v=" "/>
    <x v="2"/>
    <m/>
    <x v="4"/>
    <m/>
    <m/>
    <n v="0"/>
    <m/>
    <m/>
  </r>
  <r>
    <n v="70"/>
    <x v="5"/>
    <x v="4"/>
    <s v=" "/>
    <x v="2"/>
    <m/>
    <x v="4"/>
    <m/>
    <m/>
    <n v="0"/>
    <m/>
    <m/>
  </r>
  <r>
    <n v="71"/>
    <x v="5"/>
    <x v="4"/>
    <s v=" "/>
    <x v="2"/>
    <m/>
    <x v="4"/>
    <m/>
    <m/>
    <n v="0"/>
    <m/>
    <m/>
  </r>
  <r>
    <n v="72"/>
    <x v="5"/>
    <x v="4"/>
    <s v=" "/>
    <x v="2"/>
    <m/>
    <x v="4"/>
    <m/>
    <m/>
    <n v="0"/>
    <m/>
    <m/>
  </r>
  <r>
    <n v="73"/>
    <x v="5"/>
    <x v="4"/>
    <s v=" "/>
    <x v="2"/>
    <m/>
    <x v="4"/>
    <m/>
    <m/>
    <n v="0"/>
    <m/>
    <m/>
  </r>
  <r>
    <n v="74"/>
    <x v="5"/>
    <x v="4"/>
    <s v=" "/>
    <x v="2"/>
    <m/>
    <x v="4"/>
    <m/>
    <m/>
    <n v="0"/>
    <m/>
    <m/>
  </r>
  <r>
    <n v="75"/>
    <x v="5"/>
    <x v="4"/>
    <s v=" "/>
    <x v="2"/>
    <m/>
    <x v="4"/>
    <m/>
    <m/>
    <n v="0"/>
    <m/>
    <m/>
  </r>
  <r>
    <n v="76"/>
    <x v="5"/>
    <x v="4"/>
    <s v=" "/>
    <x v="2"/>
    <m/>
    <x v="4"/>
    <m/>
    <m/>
    <n v="0"/>
    <m/>
    <m/>
  </r>
  <r>
    <n v="77"/>
    <x v="5"/>
    <x v="4"/>
    <s v=" "/>
    <x v="2"/>
    <m/>
    <x v="4"/>
    <m/>
    <m/>
    <n v="0"/>
    <m/>
    <m/>
  </r>
  <r>
    <n v="78"/>
    <x v="5"/>
    <x v="4"/>
    <s v=" "/>
    <x v="2"/>
    <m/>
    <x v="4"/>
    <m/>
    <m/>
    <n v="0"/>
    <m/>
    <m/>
  </r>
  <r>
    <n v="79"/>
    <x v="5"/>
    <x v="4"/>
    <s v=" "/>
    <x v="2"/>
    <m/>
    <x v="4"/>
    <m/>
    <m/>
    <n v="0"/>
    <m/>
    <m/>
  </r>
  <r>
    <n v="80"/>
    <x v="5"/>
    <x v="4"/>
    <s v=" "/>
    <x v="2"/>
    <m/>
    <x v="4"/>
    <m/>
    <m/>
    <n v="0"/>
    <m/>
    <m/>
  </r>
  <r>
    <n v="81"/>
    <x v="5"/>
    <x v="4"/>
    <s v=" "/>
    <x v="2"/>
    <m/>
    <x v="4"/>
    <m/>
    <m/>
    <n v="0"/>
    <m/>
    <m/>
  </r>
  <r>
    <n v="82"/>
    <x v="5"/>
    <x v="4"/>
    <s v=" "/>
    <x v="2"/>
    <m/>
    <x v="4"/>
    <m/>
    <m/>
    <n v="0"/>
    <m/>
    <m/>
  </r>
  <r>
    <n v="83"/>
    <x v="5"/>
    <x v="4"/>
    <s v=" "/>
    <x v="2"/>
    <m/>
    <x v="4"/>
    <m/>
    <m/>
    <n v="0"/>
    <m/>
    <m/>
  </r>
  <r>
    <n v="84"/>
    <x v="5"/>
    <x v="4"/>
    <s v=" "/>
    <x v="2"/>
    <m/>
    <x v="4"/>
    <m/>
    <m/>
    <n v="0"/>
    <m/>
    <m/>
  </r>
  <r>
    <n v="85"/>
    <x v="5"/>
    <x v="4"/>
    <s v=" "/>
    <x v="2"/>
    <m/>
    <x v="4"/>
    <m/>
    <m/>
    <n v="0"/>
    <m/>
    <m/>
  </r>
  <r>
    <n v="86"/>
    <x v="5"/>
    <x v="4"/>
    <s v=" "/>
    <x v="2"/>
    <m/>
    <x v="4"/>
    <m/>
    <m/>
    <n v="0"/>
    <m/>
    <m/>
  </r>
  <r>
    <n v="87"/>
    <x v="5"/>
    <x v="4"/>
    <s v=" "/>
    <x v="2"/>
    <m/>
    <x v="4"/>
    <m/>
    <m/>
    <n v="0"/>
    <m/>
    <m/>
  </r>
  <r>
    <n v="88"/>
    <x v="5"/>
    <x v="4"/>
    <s v=" "/>
    <x v="2"/>
    <m/>
    <x v="4"/>
    <m/>
    <m/>
    <n v="0"/>
    <m/>
    <m/>
  </r>
  <r>
    <n v="89"/>
    <x v="5"/>
    <x v="4"/>
    <s v=" "/>
    <x v="2"/>
    <m/>
    <x v="4"/>
    <m/>
    <m/>
    <n v="0"/>
    <m/>
    <m/>
  </r>
  <r>
    <n v="90"/>
    <x v="5"/>
    <x v="4"/>
    <s v=" "/>
    <x v="2"/>
    <m/>
    <x v="4"/>
    <m/>
    <m/>
    <n v="0"/>
    <m/>
    <m/>
  </r>
  <r>
    <n v="91"/>
    <x v="5"/>
    <x v="4"/>
    <s v=" "/>
    <x v="2"/>
    <m/>
    <x v="4"/>
    <m/>
    <m/>
    <n v="0"/>
    <m/>
    <m/>
  </r>
  <r>
    <n v="92"/>
    <x v="5"/>
    <x v="4"/>
    <s v=" "/>
    <x v="2"/>
    <m/>
    <x v="4"/>
    <m/>
    <m/>
    <n v="0"/>
    <m/>
    <m/>
  </r>
  <r>
    <n v="93"/>
    <x v="5"/>
    <x v="4"/>
    <s v=" "/>
    <x v="2"/>
    <m/>
    <x v="4"/>
    <m/>
    <m/>
    <n v="0"/>
    <m/>
    <m/>
  </r>
  <r>
    <n v="94"/>
    <x v="5"/>
    <x v="4"/>
    <s v=" "/>
    <x v="2"/>
    <m/>
    <x v="4"/>
    <m/>
    <m/>
    <n v="0"/>
    <m/>
    <m/>
  </r>
  <r>
    <n v="95"/>
    <x v="5"/>
    <x v="4"/>
    <s v=" "/>
    <x v="2"/>
    <m/>
    <x v="4"/>
    <m/>
    <m/>
    <n v="0"/>
    <m/>
    <m/>
  </r>
  <r>
    <n v="96"/>
    <x v="5"/>
    <x v="4"/>
    <s v=" "/>
    <x v="2"/>
    <m/>
    <x v="4"/>
    <m/>
    <m/>
    <n v="0"/>
    <m/>
    <m/>
  </r>
  <r>
    <n v="97"/>
    <x v="5"/>
    <x v="4"/>
    <s v=" "/>
    <x v="2"/>
    <m/>
    <x v="4"/>
    <m/>
    <m/>
    <n v="0"/>
    <m/>
    <m/>
  </r>
  <r>
    <n v="98"/>
    <x v="5"/>
    <x v="4"/>
    <s v=" "/>
    <x v="2"/>
    <m/>
    <x v="4"/>
    <m/>
    <m/>
    <n v="0"/>
    <m/>
    <m/>
  </r>
  <r>
    <n v="99"/>
    <x v="5"/>
    <x v="4"/>
    <s v=" "/>
    <x v="2"/>
    <m/>
    <x v="4"/>
    <m/>
    <m/>
    <n v="0"/>
    <m/>
    <m/>
  </r>
  <r>
    <n v="100"/>
    <x v="5"/>
    <x v="4"/>
    <s v=" "/>
    <x v="2"/>
    <m/>
    <x v="4"/>
    <m/>
    <m/>
    <n v="0"/>
    <m/>
    <m/>
  </r>
  <r>
    <n v="101"/>
    <x v="5"/>
    <x v="4"/>
    <s v=" "/>
    <x v="2"/>
    <m/>
    <x v="4"/>
    <m/>
    <m/>
    <n v="0"/>
    <m/>
    <m/>
  </r>
  <r>
    <n v="102"/>
    <x v="5"/>
    <x v="4"/>
    <s v=" "/>
    <x v="2"/>
    <m/>
    <x v="4"/>
    <m/>
    <m/>
    <n v="0"/>
    <m/>
    <m/>
  </r>
  <r>
    <n v="103"/>
    <x v="5"/>
    <x v="4"/>
    <s v=" "/>
    <x v="2"/>
    <m/>
    <x v="4"/>
    <m/>
    <m/>
    <n v="0"/>
    <m/>
    <m/>
  </r>
  <r>
    <n v="104"/>
    <x v="5"/>
    <x v="4"/>
    <s v=" "/>
    <x v="2"/>
    <m/>
    <x v="4"/>
    <m/>
    <m/>
    <n v="0"/>
    <m/>
    <m/>
  </r>
  <r>
    <n v="105"/>
    <x v="5"/>
    <x v="4"/>
    <s v=" "/>
    <x v="2"/>
    <m/>
    <x v="4"/>
    <m/>
    <m/>
    <n v="0"/>
    <m/>
    <m/>
  </r>
  <r>
    <n v="106"/>
    <x v="5"/>
    <x v="4"/>
    <s v=" "/>
    <x v="2"/>
    <m/>
    <x v="4"/>
    <m/>
    <m/>
    <n v="0"/>
    <m/>
    <m/>
  </r>
  <r>
    <n v="107"/>
    <x v="5"/>
    <x v="4"/>
    <s v=" "/>
    <x v="2"/>
    <m/>
    <x v="4"/>
    <m/>
    <m/>
    <n v="0"/>
    <m/>
    <m/>
  </r>
  <r>
    <n v="108"/>
    <x v="5"/>
    <x v="4"/>
    <s v=" "/>
    <x v="2"/>
    <m/>
    <x v="4"/>
    <m/>
    <m/>
    <n v="0"/>
    <m/>
    <m/>
  </r>
  <r>
    <n v="109"/>
    <x v="5"/>
    <x v="4"/>
    <s v=" "/>
    <x v="2"/>
    <m/>
    <x v="4"/>
    <m/>
    <m/>
    <n v="0"/>
    <m/>
    <m/>
  </r>
  <r>
    <n v="110"/>
    <x v="5"/>
    <x v="4"/>
    <s v=" "/>
    <x v="2"/>
    <m/>
    <x v="4"/>
    <m/>
    <m/>
    <n v="0"/>
    <m/>
    <m/>
  </r>
  <r>
    <n v="111"/>
    <x v="5"/>
    <x v="4"/>
    <s v=" "/>
    <x v="2"/>
    <m/>
    <x v="4"/>
    <m/>
    <m/>
    <n v="0"/>
    <m/>
    <m/>
  </r>
  <r>
    <n v="112"/>
    <x v="5"/>
    <x v="4"/>
    <s v=" "/>
    <x v="2"/>
    <m/>
    <x v="4"/>
    <m/>
    <m/>
    <n v="0"/>
    <m/>
    <m/>
  </r>
  <r>
    <n v="113"/>
    <x v="5"/>
    <x v="4"/>
    <s v=" "/>
    <x v="2"/>
    <m/>
    <x v="4"/>
    <m/>
    <m/>
    <n v="0"/>
    <m/>
    <m/>
  </r>
  <r>
    <n v="114"/>
    <x v="5"/>
    <x v="4"/>
    <s v=" "/>
    <x v="2"/>
    <m/>
    <x v="4"/>
    <m/>
    <m/>
    <n v="0"/>
    <m/>
    <m/>
  </r>
  <r>
    <n v="115"/>
    <x v="5"/>
    <x v="4"/>
    <s v=" "/>
    <x v="2"/>
    <m/>
    <x v="4"/>
    <m/>
    <m/>
    <n v="0"/>
    <m/>
    <m/>
  </r>
  <r>
    <n v="116"/>
    <x v="5"/>
    <x v="4"/>
    <s v=" "/>
    <x v="2"/>
    <m/>
    <x v="4"/>
    <m/>
    <m/>
    <n v="0"/>
    <m/>
    <m/>
  </r>
  <r>
    <n v="117"/>
    <x v="5"/>
    <x v="4"/>
    <s v=" "/>
    <x v="2"/>
    <m/>
    <x v="4"/>
    <m/>
    <m/>
    <n v="0"/>
    <m/>
    <m/>
  </r>
  <r>
    <n v="118"/>
    <x v="5"/>
    <x v="4"/>
    <s v=" "/>
    <x v="2"/>
    <m/>
    <x v="4"/>
    <m/>
    <m/>
    <n v="0"/>
    <m/>
    <m/>
  </r>
  <r>
    <n v="119"/>
    <x v="5"/>
    <x v="4"/>
    <s v=" "/>
    <x v="2"/>
    <m/>
    <x v="4"/>
    <m/>
    <m/>
    <n v="0"/>
    <m/>
    <m/>
  </r>
  <r>
    <n v="120"/>
    <x v="5"/>
    <x v="4"/>
    <s v=" "/>
    <x v="2"/>
    <m/>
    <x v="4"/>
    <m/>
    <m/>
    <n v="0"/>
    <m/>
    <m/>
  </r>
  <r>
    <n v="121"/>
    <x v="5"/>
    <x v="4"/>
    <s v=" "/>
    <x v="2"/>
    <m/>
    <x v="4"/>
    <m/>
    <m/>
    <n v="0"/>
    <m/>
    <m/>
  </r>
  <r>
    <n v="122"/>
    <x v="5"/>
    <x v="4"/>
    <s v=" "/>
    <x v="2"/>
    <m/>
    <x v="4"/>
    <m/>
    <m/>
    <n v="0"/>
    <m/>
    <m/>
  </r>
  <r>
    <n v="123"/>
    <x v="5"/>
    <x v="4"/>
    <s v=" "/>
    <x v="2"/>
    <m/>
    <x v="4"/>
    <m/>
    <m/>
    <n v="0"/>
    <m/>
    <m/>
  </r>
  <r>
    <n v="124"/>
    <x v="5"/>
    <x v="4"/>
    <s v=" "/>
    <x v="2"/>
    <m/>
    <x v="4"/>
    <m/>
    <m/>
    <n v="0"/>
    <m/>
    <m/>
  </r>
  <r>
    <n v="125"/>
    <x v="5"/>
    <x v="4"/>
    <s v=" "/>
    <x v="2"/>
    <m/>
    <x v="4"/>
    <m/>
    <m/>
    <n v="0"/>
    <m/>
    <m/>
  </r>
  <r>
    <n v="126"/>
    <x v="5"/>
    <x v="4"/>
    <s v=" "/>
    <x v="2"/>
    <m/>
    <x v="4"/>
    <m/>
    <m/>
    <n v="0"/>
    <m/>
    <m/>
  </r>
  <r>
    <n v="127"/>
    <x v="5"/>
    <x v="4"/>
    <s v=" "/>
    <x v="2"/>
    <m/>
    <x v="4"/>
    <m/>
    <m/>
    <n v="0"/>
    <m/>
    <m/>
  </r>
  <r>
    <n v="128"/>
    <x v="5"/>
    <x v="4"/>
    <s v=" "/>
    <x v="2"/>
    <m/>
    <x v="4"/>
    <m/>
    <m/>
    <n v="0"/>
    <m/>
    <m/>
  </r>
  <r>
    <n v="129"/>
    <x v="5"/>
    <x v="4"/>
    <s v=" "/>
    <x v="2"/>
    <m/>
    <x v="4"/>
    <m/>
    <m/>
    <n v="0"/>
    <m/>
    <m/>
  </r>
  <r>
    <n v="130"/>
    <x v="5"/>
    <x v="4"/>
    <s v=" "/>
    <x v="2"/>
    <m/>
    <x v="4"/>
    <m/>
    <m/>
    <n v="0"/>
    <m/>
    <m/>
  </r>
  <r>
    <n v="131"/>
    <x v="5"/>
    <x v="4"/>
    <s v=" "/>
    <x v="2"/>
    <m/>
    <x v="4"/>
    <m/>
    <m/>
    <n v="0"/>
    <m/>
    <m/>
  </r>
  <r>
    <n v="132"/>
    <x v="5"/>
    <x v="4"/>
    <s v=" "/>
    <x v="2"/>
    <m/>
    <x v="4"/>
    <m/>
    <m/>
    <n v="0"/>
    <m/>
    <m/>
  </r>
  <r>
    <n v="133"/>
    <x v="5"/>
    <x v="4"/>
    <s v=" "/>
    <x v="2"/>
    <m/>
    <x v="4"/>
    <m/>
    <m/>
    <n v="0"/>
    <m/>
    <m/>
  </r>
  <r>
    <n v="134"/>
    <x v="5"/>
    <x v="4"/>
    <s v=" "/>
    <x v="2"/>
    <m/>
    <x v="4"/>
    <m/>
    <m/>
    <n v="0"/>
    <m/>
    <m/>
  </r>
  <r>
    <n v="135"/>
    <x v="5"/>
    <x v="4"/>
    <s v=" "/>
    <x v="2"/>
    <m/>
    <x v="4"/>
    <m/>
    <m/>
    <n v="0"/>
    <m/>
    <m/>
  </r>
  <r>
    <n v="136"/>
    <x v="5"/>
    <x v="4"/>
    <s v=" "/>
    <x v="2"/>
    <m/>
    <x v="4"/>
    <m/>
    <m/>
    <n v="0"/>
    <m/>
    <m/>
  </r>
  <r>
    <n v="137"/>
    <x v="5"/>
    <x v="4"/>
    <s v=" "/>
    <x v="2"/>
    <m/>
    <x v="4"/>
    <m/>
    <m/>
    <n v="0"/>
    <m/>
    <m/>
  </r>
  <r>
    <n v="138"/>
    <x v="5"/>
    <x v="4"/>
    <s v=" "/>
    <x v="2"/>
    <m/>
    <x v="4"/>
    <m/>
    <m/>
    <n v="0"/>
    <m/>
    <m/>
  </r>
  <r>
    <n v="139"/>
    <x v="5"/>
    <x v="4"/>
    <s v=" "/>
    <x v="2"/>
    <m/>
    <x v="4"/>
    <m/>
    <m/>
    <n v="0"/>
    <m/>
    <m/>
  </r>
  <r>
    <n v="140"/>
    <x v="5"/>
    <x v="4"/>
    <s v=" "/>
    <x v="2"/>
    <m/>
    <x v="4"/>
    <m/>
    <m/>
    <n v="0"/>
    <m/>
    <m/>
  </r>
  <r>
    <n v="141"/>
    <x v="5"/>
    <x v="4"/>
    <s v=" "/>
    <x v="2"/>
    <m/>
    <x v="4"/>
    <m/>
    <m/>
    <n v="0"/>
    <m/>
    <m/>
  </r>
  <r>
    <n v="142"/>
    <x v="5"/>
    <x v="4"/>
    <s v=" "/>
    <x v="2"/>
    <m/>
    <x v="4"/>
    <m/>
    <m/>
    <n v="0"/>
    <m/>
    <m/>
  </r>
  <r>
    <n v="143"/>
    <x v="5"/>
    <x v="4"/>
    <s v=" "/>
    <x v="2"/>
    <m/>
    <x v="4"/>
    <m/>
    <m/>
    <n v="0"/>
    <m/>
    <m/>
  </r>
  <r>
    <n v="144"/>
    <x v="5"/>
    <x v="4"/>
    <s v=" "/>
    <x v="2"/>
    <m/>
    <x v="4"/>
    <m/>
    <m/>
    <n v="0"/>
    <m/>
    <m/>
  </r>
  <r>
    <n v="145"/>
    <x v="5"/>
    <x v="4"/>
    <s v=" "/>
    <x v="2"/>
    <m/>
    <x v="4"/>
    <m/>
    <m/>
    <n v="0"/>
    <m/>
    <m/>
  </r>
  <r>
    <n v="146"/>
    <x v="5"/>
    <x v="4"/>
    <s v=" "/>
    <x v="2"/>
    <m/>
    <x v="4"/>
    <m/>
    <m/>
    <n v="0"/>
    <m/>
    <m/>
  </r>
  <r>
    <n v="147"/>
    <x v="5"/>
    <x v="4"/>
    <s v=" "/>
    <x v="2"/>
    <m/>
    <x v="4"/>
    <m/>
    <m/>
    <n v="0"/>
    <m/>
    <m/>
  </r>
  <r>
    <n v="148"/>
    <x v="5"/>
    <x v="4"/>
    <s v=" "/>
    <x v="2"/>
    <m/>
    <x v="4"/>
    <m/>
    <m/>
    <n v="0"/>
    <m/>
    <m/>
  </r>
  <r>
    <n v="149"/>
    <x v="5"/>
    <x v="4"/>
    <s v=" "/>
    <x v="2"/>
    <m/>
    <x v="4"/>
    <m/>
    <m/>
    <n v="0"/>
    <m/>
    <m/>
  </r>
  <r>
    <n v="150"/>
    <x v="5"/>
    <x v="4"/>
    <s v=" "/>
    <x v="2"/>
    <m/>
    <x v="4"/>
    <m/>
    <m/>
    <n v="0"/>
    <m/>
    <m/>
  </r>
  <r>
    <n v="151"/>
    <x v="5"/>
    <x v="4"/>
    <s v=" "/>
    <x v="2"/>
    <m/>
    <x v="4"/>
    <m/>
    <m/>
    <n v="0"/>
    <m/>
    <m/>
  </r>
  <r>
    <n v="152"/>
    <x v="5"/>
    <x v="4"/>
    <s v=" "/>
    <x v="2"/>
    <m/>
    <x v="4"/>
    <m/>
    <m/>
    <n v="0"/>
    <m/>
    <m/>
  </r>
  <r>
    <n v="153"/>
    <x v="5"/>
    <x v="4"/>
    <s v=" "/>
    <x v="2"/>
    <m/>
    <x v="4"/>
    <m/>
    <m/>
    <n v="0"/>
    <m/>
    <m/>
  </r>
  <r>
    <n v="154"/>
    <x v="5"/>
    <x v="4"/>
    <s v=" "/>
    <x v="2"/>
    <m/>
    <x v="4"/>
    <m/>
    <m/>
    <n v="0"/>
    <m/>
    <m/>
  </r>
  <r>
    <n v="155"/>
    <x v="5"/>
    <x v="4"/>
    <s v=" "/>
    <x v="2"/>
    <m/>
    <x v="4"/>
    <m/>
    <m/>
    <n v="0"/>
    <m/>
    <m/>
  </r>
  <r>
    <n v="156"/>
    <x v="5"/>
    <x v="4"/>
    <s v=" "/>
    <x v="2"/>
    <m/>
    <x v="4"/>
    <m/>
    <m/>
    <n v="0"/>
    <m/>
    <m/>
  </r>
  <r>
    <n v="157"/>
    <x v="5"/>
    <x v="4"/>
    <s v=" "/>
    <x v="2"/>
    <m/>
    <x v="4"/>
    <m/>
    <m/>
    <n v="0"/>
    <m/>
    <m/>
  </r>
  <r>
    <n v="158"/>
    <x v="5"/>
    <x v="4"/>
    <s v=" "/>
    <x v="2"/>
    <m/>
    <x v="4"/>
    <m/>
    <m/>
    <n v="0"/>
    <m/>
    <m/>
  </r>
  <r>
    <n v="159"/>
    <x v="5"/>
    <x v="4"/>
    <s v=" "/>
    <x v="2"/>
    <m/>
    <x v="4"/>
    <m/>
    <m/>
    <n v="0"/>
    <m/>
    <m/>
  </r>
  <r>
    <n v="160"/>
    <x v="5"/>
    <x v="4"/>
    <s v=" "/>
    <x v="2"/>
    <m/>
    <x v="4"/>
    <m/>
    <m/>
    <n v="0"/>
    <m/>
    <m/>
  </r>
  <r>
    <n v="161"/>
    <x v="5"/>
    <x v="4"/>
    <s v=" "/>
    <x v="2"/>
    <m/>
    <x v="4"/>
    <m/>
    <m/>
    <n v="0"/>
    <m/>
    <m/>
  </r>
  <r>
    <n v="162"/>
    <x v="5"/>
    <x v="4"/>
    <s v=" "/>
    <x v="2"/>
    <m/>
    <x v="4"/>
    <m/>
    <m/>
    <n v="0"/>
    <m/>
    <m/>
  </r>
  <r>
    <n v="163"/>
    <x v="5"/>
    <x v="4"/>
    <s v=" "/>
    <x v="2"/>
    <m/>
    <x v="4"/>
    <m/>
    <m/>
    <n v="0"/>
    <m/>
    <m/>
  </r>
  <r>
    <n v="164"/>
    <x v="5"/>
    <x v="4"/>
    <s v=" "/>
    <x v="2"/>
    <m/>
    <x v="4"/>
    <m/>
    <m/>
    <n v="0"/>
    <m/>
    <m/>
  </r>
  <r>
    <n v="165"/>
    <x v="5"/>
    <x v="4"/>
    <s v=" "/>
    <x v="2"/>
    <m/>
    <x v="4"/>
    <m/>
    <m/>
    <n v="0"/>
    <m/>
    <m/>
  </r>
  <r>
    <n v="166"/>
    <x v="5"/>
    <x v="4"/>
    <s v=" "/>
    <x v="2"/>
    <m/>
    <x v="4"/>
    <m/>
    <m/>
    <n v="0"/>
    <m/>
    <m/>
  </r>
  <r>
    <n v="167"/>
    <x v="5"/>
    <x v="4"/>
    <s v=" "/>
    <x v="2"/>
    <m/>
    <x v="4"/>
    <m/>
    <m/>
    <n v="0"/>
    <m/>
    <m/>
  </r>
  <r>
    <n v="168"/>
    <x v="5"/>
    <x v="4"/>
    <s v=" "/>
    <x v="2"/>
    <m/>
    <x v="4"/>
    <m/>
    <m/>
    <n v="0"/>
    <m/>
    <m/>
  </r>
  <r>
    <n v="169"/>
    <x v="5"/>
    <x v="4"/>
    <s v=" "/>
    <x v="2"/>
    <m/>
    <x v="4"/>
    <m/>
    <m/>
    <n v="0"/>
    <m/>
    <m/>
  </r>
  <r>
    <n v="170"/>
    <x v="5"/>
    <x v="4"/>
    <s v=" "/>
    <x v="2"/>
    <m/>
    <x v="4"/>
    <m/>
    <m/>
    <n v="0"/>
    <m/>
    <m/>
  </r>
  <r>
    <n v="171"/>
    <x v="5"/>
    <x v="4"/>
    <s v=" "/>
    <x v="2"/>
    <m/>
    <x v="4"/>
    <m/>
    <m/>
    <n v="0"/>
    <m/>
    <m/>
  </r>
  <r>
    <n v="172"/>
    <x v="5"/>
    <x v="4"/>
    <s v=" "/>
    <x v="2"/>
    <m/>
    <x v="4"/>
    <m/>
    <m/>
    <n v="0"/>
    <m/>
    <m/>
  </r>
  <r>
    <n v="173"/>
    <x v="5"/>
    <x v="4"/>
    <s v=" "/>
    <x v="2"/>
    <m/>
    <x v="4"/>
    <m/>
    <m/>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6">
  <location ref="B7:F13" firstHeaderRow="1" firstDataRow="2" firstDataCol="1" rowPageCount="1" colPageCount="1"/>
  <pivotFields count="12">
    <pivotField showAll="0"/>
    <pivotField axis="axisPage" dataField="1" multipleItemSelectionAllowed="1" showAll="0">
      <items count="7">
        <item x="2"/>
        <item x="3"/>
        <item x="1"/>
        <item x="4"/>
        <item x="0"/>
        <item h="1" x="5"/>
        <item t="default"/>
      </items>
    </pivotField>
    <pivotField axis="axisRow" showAll="0">
      <items count="6">
        <item x="1"/>
        <item h="1" x="2"/>
        <item h="1" x="0"/>
        <item h="1" x="4"/>
        <item h="1" x="3"/>
        <item t="default"/>
      </items>
    </pivotField>
    <pivotField showAll="0"/>
    <pivotField axis="axisRow" showAll="0">
      <items count="4">
        <item x="0"/>
        <item x="1"/>
        <item x="2"/>
        <item t="default"/>
      </items>
    </pivotField>
    <pivotField showAll="0"/>
    <pivotField axis="axisCol" showAll="0">
      <items count="6">
        <item x="1"/>
        <item x="0"/>
        <item x="2"/>
        <item x="3"/>
        <item x="4"/>
        <item t="default"/>
      </items>
    </pivotField>
    <pivotField showAll="0"/>
    <pivotField showAll="0"/>
    <pivotField showAll="0"/>
    <pivotField showAll="0"/>
    <pivotField showAll="0"/>
  </pivotFields>
  <rowFields count="2">
    <field x="4"/>
    <field x="2"/>
  </rowFields>
  <rowItems count="5">
    <i>
      <x/>
    </i>
    <i r="1">
      <x/>
    </i>
    <i>
      <x v="1"/>
    </i>
    <i r="1">
      <x/>
    </i>
    <i t="grand">
      <x/>
    </i>
  </rowItems>
  <colFields count="1">
    <field x="6"/>
  </colFields>
  <colItems count="4">
    <i>
      <x/>
    </i>
    <i>
      <x v="1"/>
    </i>
    <i>
      <x v="2"/>
    </i>
    <i t="grand">
      <x/>
    </i>
  </colItems>
  <pageFields count="1">
    <pageField fld="1" hier="-1"/>
  </pageFields>
  <dataFields count="1">
    <dataField name="Count of Date" fld="1" subtotal="count" baseField="0" baseItem="0"/>
  </dataFields>
  <chartFormats count="26">
    <chartFormat chart="12" format="10" series="1">
      <pivotArea type="data" outline="0" fieldPosition="0">
        <references count="2">
          <reference field="4294967294" count="1" selected="0">
            <x v="0"/>
          </reference>
          <reference field="6" count="1" selected="0">
            <x v="0"/>
          </reference>
        </references>
      </pivotArea>
    </chartFormat>
    <chartFormat chart="12" format="11" series="1">
      <pivotArea type="data" outline="0" fieldPosition="0">
        <references count="2">
          <reference field="4294967294" count="1" selected="0">
            <x v="0"/>
          </reference>
          <reference field="6" count="1" selected="0">
            <x v="1"/>
          </reference>
        </references>
      </pivotArea>
    </chartFormat>
    <chartFormat chart="12" format="12" series="1">
      <pivotArea type="data" outline="0" fieldPosition="0">
        <references count="2">
          <reference field="4294967294" count="1" selected="0">
            <x v="0"/>
          </reference>
          <reference field="6" count="1" selected="0">
            <x v="2"/>
          </reference>
        </references>
      </pivotArea>
    </chartFormat>
    <chartFormat chart="12" format="13" series="1">
      <pivotArea type="data" outline="0" fieldPosition="0">
        <references count="2">
          <reference field="4294967294" count="1" selected="0">
            <x v="0"/>
          </reference>
          <reference field="6" count="1" selected="0">
            <x v="3"/>
          </reference>
        </references>
      </pivotArea>
    </chartFormat>
    <chartFormat chart="15" format="18" series="1">
      <pivotArea type="data" outline="0" fieldPosition="0">
        <references count="2">
          <reference field="4294967294" count="1" selected="0">
            <x v="0"/>
          </reference>
          <reference field="6" count="1" selected="0">
            <x v="0"/>
          </reference>
        </references>
      </pivotArea>
    </chartFormat>
    <chartFormat chart="15" format="19">
      <pivotArea type="data" outline="0" fieldPosition="0">
        <references count="3">
          <reference field="4294967294" count="1" selected="0">
            <x v="0"/>
          </reference>
          <reference field="4" count="1" selected="0">
            <x v="0"/>
          </reference>
          <reference field="6" count="1" selected="0">
            <x v="0"/>
          </reference>
        </references>
      </pivotArea>
    </chartFormat>
    <chartFormat chart="15" format="20">
      <pivotArea type="data" outline="0" fieldPosition="0">
        <references count="3">
          <reference field="4294967294" count="1" selected="0">
            <x v="0"/>
          </reference>
          <reference field="4" count="1" selected="0">
            <x v="1"/>
          </reference>
          <reference field="6" count="1" selected="0">
            <x v="0"/>
          </reference>
        </references>
      </pivotArea>
    </chartFormat>
    <chartFormat chart="15" format="21" series="1">
      <pivotArea type="data" outline="0" fieldPosition="0">
        <references count="2">
          <reference field="4294967294" count="1" selected="0">
            <x v="0"/>
          </reference>
          <reference field="6" count="1" selected="0">
            <x v="1"/>
          </reference>
        </references>
      </pivotArea>
    </chartFormat>
    <chartFormat chart="15" format="22">
      <pivotArea type="data" outline="0" fieldPosition="0">
        <references count="3">
          <reference field="4294967294" count="1" selected="0">
            <x v="0"/>
          </reference>
          <reference field="4" count="1" selected="0">
            <x v="0"/>
          </reference>
          <reference field="6" count="1" selected="0">
            <x v="1"/>
          </reference>
        </references>
      </pivotArea>
    </chartFormat>
    <chartFormat chart="15" format="23">
      <pivotArea type="data" outline="0" fieldPosition="0">
        <references count="3">
          <reference field="4294967294" count="1" selected="0">
            <x v="0"/>
          </reference>
          <reference field="4" count="1" selected="0">
            <x v="1"/>
          </reference>
          <reference field="6" count="1" selected="0">
            <x v="1"/>
          </reference>
        </references>
      </pivotArea>
    </chartFormat>
    <chartFormat chart="15" format="24" series="1">
      <pivotArea type="data" outline="0" fieldPosition="0">
        <references count="2">
          <reference field="4294967294" count="1" selected="0">
            <x v="0"/>
          </reference>
          <reference field="6" count="1" selected="0">
            <x v="2"/>
          </reference>
        </references>
      </pivotArea>
    </chartFormat>
    <chartFormat chart="15" format="25">
      <pivotArea type="data" outline="0" fieldPosition="0">
        <references count="3">
          <reference field="4294967294" count="1" selected="0">
            <x v="0"/>
          </reference>
          <reference field="4" count="1" selected="0">
            <x v="0"/>
          </reference>
          <reference field="6" count="1" selected="0">
            <x v="2"/>
          </reference>
        </references>
      </pivotArea>
    </chartFormat>
    <chartFormat chart="15" format="26">
      <pivotArea type="data" outline="0" fieldPosition="0">
        <references count="3">
          <reference field="4294967294" count="1" selected="0">
            <x v="0"/>
          </reference>
          <reference field="4" count="1" selected="0">
            <x v="1"/>
          </reference>
          <reference field="6" count="1" selected="0">
            <x v="2"/>
          </reference>
        </references>
      </pivotArea>
    </chartFormat>
    <chartFormat chart="15" format="27" series="1">
      <pivotArea type="data" outline="0" fieldPosition="0">
        <references count="2">
          <reference field="4294967294" count="1" selected="0">
            <x v="0"/>
          </reference>
          <reference field="6" count="1" selected="0">
            <x v="3"/>
          </reference>
        </references>
      </pivotArea>
    </chartFormat>
    <chartFormat chart="15" format="28">
      <pivotArea type="data" outline="0" fieldPosition="0">
        <references count="3">
          <reference field="4294967294" count="1" selected="0">
            <x v="0"/>
          </reference>
          <reference field="4" count="1" selected="0">
            <x v="0"/>
          </reference>
          <reference field="6" count="1" selected="0">
            <x v="3"/>
          </reference>
        </references>
      </pivotArea>
    </chartFormat>
    <chartFormat chart="15" format="29">
      <pivotArea type="data" outline="0" fieldPosition="0">
        <references count="3">
          <reference field="4294967294" count="1" selected="0">
            <x v="0"/>
          </reference>
          <reference field="4" count="1" selected="0">
            <x v="1"/>
          </reference>
          <reference field="6" count="1" selected="0">
            <x v="3"/>
          </reference>
        </references>
      </pivotArea>
    </chartFormat>
    <chartFormat chart="15" format="30" series="1">
      <pivotArea type="data" outline="0" fieldPosition="0">
        <references count="1">
          <reference field="4294967294" count="1" selected="0">
            <x v="0"/>
          </reference>
        </references>
      </pivotArea>
    </chartFormat>
    <chartFormat chart="12" format="14" series="1">
      <pivotArea type="data" outline="0" fieldPosition="0">
        <references count="1">
          <reference field="4294967294" count="1" selected="0">
            <x v="0"/>
          </reference>
        </references>
      </pivotArea>
    </chartFormat>
    <chartFormat chart="15" format="31">
      <pivotArea type="data" outline="0" fieldPosition="0">
        <references count="4">
          <reference field="4294967294" count="1" selected="0">
            <x v="0"/>
          </reference>
          <reference field="2" count="1" selected="0">
            <x v="0"/>
          </reference>
          <reference field="4" count="1" selected="0">
            <x v="1"/>
          </reference>
          <reference field="6" count="1" selected="0">
            <x v="0"/>
          </reference>
        </references>
      </pivotArea>
    </chartFormat>
    <chartFormat chart="15" format="32">
      <pivotArea type="data" outline="0" fieldPosition="0">
        <references count="4">
          <reference field="4294967294" count="1" selected="0">
            <x v="0"/>
          </reference>
          <reference field="2" count="1" selected="0">
            <x v="1"/>
          </reference>
          <reference field="4" count="1" selected="0">
            <x v="1"/>
          </reference>
          <reference field="6" count="1" selected="0">
            <x v="0"/>
          </reference>
        </references>
      </pivotArea>
    </chartFormat>
    <chartFormat chart="15" format="33">
      <pivotArea type="data" outline="0" fieldPosition="0">
        <references count="4">
          <reference field="4294967294" count="1" selected="0">
            <x v="0"/>
          </reference>
          <reference field="2" count="1" selected="0">
            <x v="0"/>
          </reference>
          <reference field="4" count="1" selected="0">
            <x v="1"/>
          </reference>
          <reference field="6" count="1" selected="0">
            <x v="1"/>
          </reference>
        </references>
      </pivotArea>
    </chartFormat>
    <chartFormat chart="15" format="34">
      <pivotArea type="data" outline="0" fieldPosition="0">
        <references count="4">
          <reference field="4294967294" count="1" selected="0">
            <x v="0"/>
          </reference>
          <reference field="2" count="1" selected="0">
            <x v="1"/>
          </reference>
          <reference field="4" count="1" selected="0">
            <x v="1"/>
          </reference>
          <reference field="6" count="1" selected="0">
            <x v="1"/>
          </reference>
        </references>
      </pivotArea>
    </chartFormat>
    <chartFormat chart="15" format="35">
      <pivotArea type="data" outline="0" fieldPosition="0">
        <references count="4">
          <reference field="4294967294" count="1" selected="0">
            <x v="0"/>
          </reference>
          <reference field="2" count="1" selected="0">
            <x v="0"/>
          </reference>
          <reference field="4" count="1" selected="0">
            <x v="1"/>
          </reference>
          <reference field="6" count="1" selected="0">
            <x v="2"/>
          </reference>
        </references>
      </pivotArea>
    </chartFormat>
    <chartFormat chart="15" format="36">
      <pivotArea type="data" outline="0" fieldPosition="0">
        <references count="4">
          <reference field="4294967294" count="1" selected="0">
            <x v="0"/>
          </reference>
          <reference field="2" count="1" selected="0">
            <x v="1"/>
          </reference>
          <reference field="4" count="1" selected="0">
            <x v="1"/>
          </reference>
          <reference field="6" count="1" selected="0">
            <x v="2"/>
          </reference>
        </references>
      </pivotArea>
    </chartFormat>
    <chartFormat chart="15" format="37">
      <pivotArea type="data" outline="0" fieldPosition="0">
        <references count="4">
          <reference field="4294967294" count="1" selected="0">
            <x v="0"/>
          </reference>
          <reference field="2" count="1" selected="0">
            <x v="0"/>
          </reference>
          <reference field="4" count="1" selected="0">
            <x v="1"/>
          </reference>
          <reference field="6" count="1" selected="0">
            <x v="3"/>
          </reference>
        </references>
      </pivotArea>
    </chartFormat>
    <chartFormat chart="15" format="38">
      <pivotArea type="data" outline="0" fieldPosition="0">
        <references count="4">
          <reference field="4294967294" count="1" selected="0">
            <x v="0"/>
          </reference>
          <reference field="2" count="1" selected="0">
            <x v="1"/>
          </reference>
          <reference field="4" count="1" selected="0">
            <x v="1"/>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00000000-0013-0000-FFFF-FFFF01000000}" sourceName="Location ">
  <pivotTables>
    <pivotTable tabId="11" name="PivotTable1"/>
  </pivotTables>
  <data>
    <tabular pivotCacheId="1">
      <items count="5">
        <i x="1" s="1"/>
        <i x="0" s="1"/>
        <i x="2" s="1"/>
        <i x="3" s="1" nd="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ffice_Name" xr10:uid="{00000000-0013-0000-FFFF-FFFF02000000}" sourceName="Office Name">
  <pivotTables>
    <pivotTable tabId="11" name="PivotTable1"/>
  </pivotTables>
  <data>
    <tabular pivotCacheId="1">
      <items count="3">
        <i x="0" s="1"/>
        <i x="1" s="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3000000}" sourceName="Month">
  <pivotTables>
    <pivotTable tabId="11" name="PivotTable1"/>
  </pivotTables>
  <data>
    <tabular pivotCacheId="1">
      <items count="5">
        <i x="1" s="1"/>
        <i x="2"/>
        <i x="0"/>
        <i x="4" nd="1"/>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 xr10:uid="{00000000-0014-0000-FFFF-FFFF01000000}" cache="Slicer_Location" caption="Location " rowHeight="241300"/>
  <slicer name="Office Name" xr10:uid="{00000000-0014-0000-FFFF-FFFF02000000}" cache="Slicer_Office_Name" caption="Office Name" rowHeight="241300"/>
  <slicer name="Month" xr10:uid="{00000000-0014-0000-FFFF-FFFF03000000}" cache="Slicer_Month" caption="Month" columnCoun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12"/>
  <sheetViews>
    <sheetView showGridLines="0" workbookViewId="0">
      <selection activeCell="Q17" sqref="Q17"/>
    </sheetView>
  </sheetViews>
  <sheetFormatPr defaultRowHeight="15"/>
  <cols>
    <col min="3" max="3" width="11.28515625" bestFit="1" customWidth="1"/>
    <col min="4" max="4" width="25" bestFit="1" customWidth="1"/>
    <col min="5" max="5" width="13.42578125" style="3" bestFit="1" customWidth="1"/>
  </cols>
  <sheetData>
    <row r="1" spans="1:18" ht="15" customHeight="1">
      <c r="A1" s="72" t="s">
        <v>19</v>
      </c>
      <c r="B1" s="72"/>
      <c r="C1" s="72"/>
      <c r="D1" s="72"/>
      <c r="E1" s="72"/>
      <c r="F1" s="72"/>
      <c r="G1" s="72"/>
      <c r="H1" s="72"/>
      <c r="I1" s="72"/>
      <c r="J1" s="72"/>
      <c r="K1" s="72"/>
      <c r="L1" s="72"/>
      <c r="M1" s="72"/>
      <c r="N1" s="72"/>
      <c r="O1" s="9"/>
      <c r="P1" s="9"/>
      <c r="Q1" s="9"/>
      <c r="R1" s="9"/>
    </row>
    <row r="2" spans="1:18" ht="15" customHeight="1">
      <c r="A2" s="72"/>
      <c r="B2" s="72"/>
      <c r="C2" s="72"/>
      <c r="D2" s="72"/>
      <c r="E2" s="72"/>
      <c r="F2" s="72"/>
      <c r="G2" s="72"/>
      <c r="H2" s="72"/>
      <c r="I2" s="72"/>
      <c r="J2" s="72"/>
      <c r="K2" s="72"/>
      <c r="L2" s="72"/>
      <c r="M2" s="72"/>
      <c r="N2" s="72"/>
      <c r="O2" s="9"/>
      <c r="P2" s="9"/>
      <c r="Q2" s="9"/>
      <c r="R2" s="9"/>
    </row>
    <row r="7" spans="1:18">
      <c r="D7" s="4"/>
    </row>
    <row r="8" spans="1:18">
      <c r="D8" s="4"/>
    </row>
    <row r="9" spans="1:18">
      <c r="D9" s="4"/>
    </row>
    <row r="10" spans="1:18">
      <c r="D10" s="4"/>
    </row>
    <row r="11" spans="1:18">
      <c r="D11" s="4"/>
    </row>
    <row r="12" spans="1:18">
      <c r="D12" s="4"/>
    </row>
  </sheetData>
  <mergeCells count="1">
    <mergeCell ref="A1:N2"/>
  </mergeCells>
  <pageMargins left="0.7" right="0.7" top="0.75" bottom="0.75" header="0.3" footer="0.3"/>
  <pageSetup paperSize="9" scale="46" fitToWidth="0" fitToHeight="0"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sheetPr>
  <dimension ref="C1:V32"/>
  <sheetViews>
    <sheetView showGridLines="0" zoomScale="85" zoomScaleNormal="85" workbookViewId="0">
      <pane ySplit="4" topLeftCell="A5" activePane="bottomLeft" state="frozen"/>
      <selection pane="bottomLeft"/>
    </sheetView>
  </sheetViews>
  <sheetFormatPr defaultColWidth="9.140625" defaultRowHeight="12.75" zeroHeight="1"/>
  <cols>
    <col min="1" max="1" width="5.7109375" style="32" customWidth="1"/>
    <col min="2" max="2" width="9.140625" style="32" customWidth="1"/>
    <col min="3" max="3" width="18.7109375" style="32" customWidth="1"/>
    <col min="4" max="4" width="42.42578125" style="32" bestFit="1" customWidth="1"/>
    <col min="5" max="5" width="35.85546875" style="33" bestFit="1" customWidth="1"/>
    <col min="6" max="6" width="3.5703125" style="32" bestFit="1" customWidth="1"/>
    <col min="7" max="7" width="2" style="32" customWidth="1"/>
    <col min="8" max="8" width="9.140625" style="32" customWidth="1"/>
    <col min="9" max="9" width="17.85546875" style="32" bestFit="1" customWidth="1"/>
    <col min="10" max="10" width="11.42578125" style="32" customWidth="1"/>
    <col min="11" max="11" width="10.28515625" style="32" customWidth="1"/>
    <col min="12" max="13" width="9.140625" style="32" customWidth="1"/>
    <col min="14" max="14" width="16.140625" style="32" customWidth="1"/>
    <col min="15" max="21" width="9.140625" style="32" customWidth="1"/>
    <col min="22" max="22" width="16.7109375" style="32" customWidth="1"/>
    <col min="23" max="23" width="9.140625" style="32" customWidth="1"/>
    <col min="24" max="16384" width="9.140625" style="32"/>
  </cols>
  <sheetData>
    <row r="1" spans="3:22">
      <c r="C1" s="31"/>
      <c r="D1" s="31"/>
      <c r="E1" s="31"/>
      <c r="F1" s="31"/>
      <c r="G1" s="31"/>
      <c r="H1" s="31"/>
      <c r="I1" s="31"/>
    </row>
    <row r="2" spans="3:22">
      <c r="C2" s="31"/>
      <c r="D2" s="31"/>
      <c r="E2" s="31"/>
      <c r="F2" s="31"/>
      <c r="G2" s="31"/>
      <c r="H2" s="31"/>
      <c r="I2" s="31"/>
    </row>
    <row r="3" spans="3:22">
      <c r="C3" s="31"/>
      <c r="D3" s="31"/>
      <c r="E3" s="31"/>
      <c r="F3" s="31"/>
      <c r="G3" s="31"/>
      <c r="H3" s="31"/>
      <c r="I3" s="31"/>
    </row>
    <row r="4" spans="3:22" ht="84.75" customHeight="1" thickBot="1">
      <c r="C4" s="31"/>
      <c r="D4" s="31"/>
      <c r="E4" s="31"/>
      <c r="F4" s="31"/>
      <c r="G4" s="31"/>
      <c r="H4" s="31"/>
      <c r="I4" s="31"/>
    </row>
    <row r="5" spans="3:22" ht="21.75" customHeight="1" thickTop="1" thickBot="1">
      <c r="C5" s="42" t="s">
        <v>25</v>
      </c>
      <c r="D5" s="43"/>
      <c r="E5" s="44"/>
      <c r="F5" s="68"/>
      <c r="G5" s="55"/>
      <c r="H5" s="56"/>
      <c r="I5" s="56"/>
      <c r="J5" s="57"/>
    </row>
    <row r="6" spans="3:22" ht="24.75" thickTop="1" thickBot="1">
      <c r="C6" s="45" t="s">
        <v>18</v>
      </c>
      <c r="D6" s="46" t="s">
        <v>24</v>
      </c>
      <c r="E6" s="47"/>
      <c r="F6" s="69" t="str">
        <f>IF(E6=""," ","P")</f>
        <v xml:space="preserve"> </v>
      </c>
      <c r="G6" s="58"/>
      <c r="H6" s="59" t="s">
        <v>61</v>
      </c>
      <c r="I6" s="60"/>
      <c r="J6" s="61"/>
      <c r="L6" s="41"/>
      <c r="M6" s="41"/>
      <c r="N6" s="41"/>
      <c r="O6" s="41"/>
    </row>
    <row r="7" spans="3:22" ht="24.75" thickTop="1" thickBot="1">
      <c r="C7" s="48" t="s">
        <v>31</v>
      </c>
      <c r="D7" s="46" t="s">
        <v>29</v>
      </c>
      <c r="E7" s="49" t="str">
        <f>IF(ISBLANK(E6)," ",TEXT(E6,"MMMM"))</f>
        <v xml:space="preserve"> </v>
      </c>
      <c r="F7" s="69"/>
      <c r="G7" s="58"/>
      <c r="H7" s="62"/>
      <c r="I7" s="59"/>
      <c r="J7" s="63"/>
      <c r="L7" s="41"/>
      <c r="M7" s="41"/>
      <c r="N7" s="41"/>
      <c r="O7" s="41"/>
    </row>
    <row r="8" spans="3:22" ht="24.75" thickTop="1" thickBot="1">
      <c r="C8" s="48" t="s">
        <v>31</v>
      </c>
      <c r="D8" s="46" t="s">
        <v>30</v>
      </c>
      <c r="E8" s="49" t="str">
        <f>IF(ISBLANK(E6)," ",TEXT(E6,"DDDD"))</f>
        <v xml:space="preserve"> </v>
      </c>
      <c r="F8" s="69"/>
      <c r="G8" s="58"/>
      <c r="H8" s="62"/>
      <c r="I8" s="62"/>
      <c r="J8" s="61"/>
      <c r="L8" s="41"/>
      <c r="M8" s="41"/>
      <c r="N8" s="41"/>
      <c r="O8" s="41"/>
    </row>
    <row r="9" spans="3:22" ht="24.75" thickTop="1" thickBot="1">
      <c r="C9" s="48" t="s">
        <v>26</v>
      </c>
      <c r="D9" s="46" t="s">
        <v>23</v>
      </c>
      <c r="E9" s="49"/>
      <c r="F9" s="69" t="str">
        <f>IF(E9=""," ","P")</f>
        <v xml:space="preserve"> </v>
      </c>
      <c r="G9" s="58"/>
      <c r="H9" s="62"/>
      <c r="I9" s="62"/>
      <c r="J9" s="61"/>
      <c r="L9" s="41"/>
      <c r="M9" s="41"/>
      <c r="N9" s="41"/>
      <c r="O9" s="41"/>
    </row>
    <row r="10" spans="3:22" ht="24.75" thickTop="1" thickBot="1">
      <c r="C10" s="48" t="s">
        <v>27</v>
      </c>
      <c r="D10" s="46" t="s">
        <v>54</v>
      </c>
      <c r="E10" s="49"/>
      <c r="F10" s="69" t="str">
        <f>IF(E10=""," ","P")</f>
        <v xml:space="preserve"> </v>
      </c>
      <c r="G10" s="58"/>
      <c r="H10" s="59" t="s">
        <v>62</v>
      </c>
      <c r="I10" s="59"/>
      <c r="J10" s="63"/>
      <c r="K10"/>
      <c r="L10" s="41"/>
      <c r="M10" s="41"/>
      <c r="N10" s="41"/>
      <c r="O10" s="41"/>
    </row>
    <row r="11" spans="3:22" ht="24.75" thickTop="1" thickBot="1">
      <c r="C11" s="48" t="s">
        <v>26</v>
      </c>
      <c r="D11" s="46" t="s">
        <v>22</v>
      </c>
      <c r="E11" s="49"/>
      <c r="F11" s="69" t="str">
        <f>IF(E11=""," ","P")</f>
        <v xml:space="preserve"> </v>
      </c>
      <c r="G11" s="58"/>
      <c r="H11" s="62"/>
      <c r="I11" s="62"/>
      <c r="J11" s="61"/>
      <c r="K11"/>
    </row>
    <row r="12" spans="3:22" ht="24.75" thickTop="1" thickBot="1">
      <c r="C12" s="50">
        <v>0</v>
      </c>
      <c r="D12" s="46" t="s">
        <v>21</v>
      </c>
      <c r="E12" s="51"/>
      <c r="F12" s="69" t="str">
        <f>IF(E12=""," ","P")</f>
        <v xml:space="preserve"> </v>
      </c>
      <c r="G12" s="58"/>
      <c r="H12" s="62"/>
      <c r="I12" s="59"/>
      <c r="J12" s="63"/>
      <c r="K12"/>
    </row>
    <row r="13" spans="3:22" ht="24.75" thickTop="1" thickBot="1">
      <c r="C13" s="50">
        <v>0</v>
      </c>
      <c r="D13" s="46" t="s">
        <v>20</v>
      </c>
      <c r="E13" s="51"/>
      <c r="F13" s="69" t="str">
        <f>IF(E13=""," ","P")</f>
        <v xml:space="preserve"> </v>
      </c>
      <c r="G13" s="58"/>
      <c r="H13" s="62"/>
      <c r="I13" s="59"/>
      <c r="J13" s="63"/>
      <c r="K13"/>
    </row>
    <row r="14" spans="3:22" ht="24.75" thickTop="1" thickBot="1">
      <c r="C14" s="48" t="s">
        <v>31</v>
      </c>
      <c r="D14" s="46" t="s">
        <v>32</v>
      </c>
      <c r="E14" s="52">
        <f>(E13-E12)</f>
        <v>0</v>
      </c>
      <c r="F14" s="68"/>
      <c r="G14" s="58"/>
      <c r="H14" s="62"/>
      <c r="I14" s="62"/>
      <c r="J14" s="63"/>
      <c r="K14"/>
      <c r="V14" s="32">
        <f>COUNTA(E6:E16)</f>
        <v>3</v>
      </c>
    </row>
    <row r="15" spans="3:22" ht="24.75" thickTop="1" thickBot="1">
      <c r="C15" s="48" t="s">
        <v>27</v>
      </c>
      <c r="D15" s="46" t="s">
        <v>55</v>
      </c>
      <c r="E15" s="49"/>
      <c r="F15" s="69" t="str">
        <f>IF(E15=""," ","P")</f>
        <v xml:space="preserve"> </v>
      </c>
      <c r="G15" s="58"/>
      <c r="H15" s="62"/>
      <c r="I15" s="62"/>
      <c r="J15" s="63"/>
      <c r="K15"/>
      <c r="V15" s="71" t="s">
        <v>63</v>
      </c>
    </row>
    <row r="16" spans="3:22" ht="24.75" thickTop="1" thickBot="1">
      <c r="C16" s="53" t="s">
        <v>28</v>
      </c>
      <c r="D16" s="46" t="s">
        <v>60</v>
      </c>
      <c r="E16" s="54"/>
      <c r="F16" s="69" t="str">
        <f>IF(E16=""," ","P")</f>
        <v xml:space="preserve"> </v>
      </c>
      <c r="G16" s="64"/>
      <c r="H16" s="65"/>
      <c r="I16" s="66"/>
      <c r="J16" s="67"/>
      <c r="K16"/>
      <c r="V16" s="71"/>
    </row>
    <row r="17" spans="3:11" ht="15" hidden="1">
      <c r="E17" s="33" t="str">
        <f>_xlfn.CONCAT(TEXT(DATE(YEAR(E6),MONTH(E6),DAY(E6)),"DD-MMM-YY")," ",E11,,"-",TEXT(TIME(HOUR(E12),MINUTE(E12),SECOND(E12)),"HH:MM:SS"),"- ",TEXT(TIME(HOUR(E13),MINUTE(E13),HOUR(E13)),"Hh:MM:SS"))</f>
        <v>00-Jan-00 -00:00:00- 00:00:00</v>
      </c>
      <c r="I17"/>
      <c r="J17"/>
      <c r="K17"/>
    </row>
    <row r="18" spans="3:11" ht="15.75" thickTop="1">
      <c r="I18"/>
      <c r="J18"/>
      <c r="K18"/>
    </row>
    <row r="19" spans="3:11" ht="41.25">
      <c r="C19" s="70" t="str">
        <f>_xlfn.IFNA(IF(VLOOKUP(E17,'Working Sheet'!P:P,1,FALSE)=0,"Available", "Booked"),"Available")</f>
        <v>Booked</v>
      </c>
      <c r="D19" s="70"/>
      <c r="E19" s="70"/>
      <c r="I19"/>
      <c r="J19"/>
      <c r="K19"/>
    </row>
    <row r="20" spans="3:11" ht="15">
      <c r="I20"/>
      <c r="J20"/>
      <c r="K20"/>
    </row>
    <row r="21" spans="3:11" ht="15">
      <c r="I21"/>
      <c r="J21"/>
      <c r="K21"/>
    </row>
    <row r="22" spans="3:11" ht="15">
      <c r="I22"/>
      <c r="J22"/>
      <c r="K22"/>
    </row>
    <row r="23" spans="3:11" ht="15" hidden="1">
      <c r="I23"/>
      <c r="J23"/>
      <c r="K23"/>
    </row>
    <row r="32" spans="3:11" hidden="1">
      <c r="E32" s="32"/>
    </row>
  </sheetData>
  <mergeCells count="2">
    <mergeCell ref="C19:E19"/>
    <mergeCell ref="V15:V16"/>
  </mergeCells>
  <conditionalFormatting sqref="C19:E19">
    <cfRule type="cellIs" dxfId="30" priority="12" operator="equal">
      <formula>"Available"</formula>
    </cfRule>
    <cfRule type="cellIs" dxfId="29" priority="13" operator="equal">
      <formula>"Booked"</formula>
    </cfRule>
  </conditionalFormatting>
  <conditionalFormatting sqref="E13">
    <cfRule type="expression" dxfId="28" priority="6">
      <formula>$M13&gt;1</formula>
    </cfRule>
  </conditionalFormatting>
  <conditionalFormatting sqref="E14">
    <cfRule type="expression" dxfId="27" priority="5">
      <formula>$M14&gt;1</formula>
    </cfRule>
  </conditionalFormatting>
  <conditionalFormatting sqref="E15:E16">
    <cfRule type="expression" dxfId="26" priority="4">
      <formula>$M15&gt;1</formula>
    </cfRule>
  </conditionalFormatting>
  <conditionalFormatting sqref="E6:E9">
    <cfRule type="expression" dxfId="25" priority="33">
      <formula>$N8&gt;1</formula>
    </cfRule>
  </conditionalFormatting>
  <conditionalFormatting sqref="E10:E11">
    <cfRule type="expression" dxfId="24" priority="34">
      <formula>#REF!&gt;1</formula>
    </cfRule>
  </conditionalFormatting>
  <conditionalFormatting sqref="E6:E16">
    <cfRule type="containsBlanks" dxfId="23" priority="37">
      <formula>LEN(TRIM(E6))=0</formula>
    </cfRule>
  </conditionalFormatting>
  <conditionalFormatting sqref="V15:V16">
    <cfRule type="expression" dxfId="22" priority="1">
      <formula>COUNTA(E6:E16)=11</formula>
    </cfRule>
  </conditionalFormatting>
  <conditionalFormatting sqref="E12">
    <cfRule type="expression" dxfId="21" priority="45">
      <formula>#REF!&gt;1</formula>
    </cfRule>
  </conditionalFormatting>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Validation_Sheet!$A$2:$A$3</xm:f>
          </x14:formula1>
          <xm:sqref>E9</xm:sqref>
        </x14:dataValidation>
        <x14:dataValidation type="list" allowBlank="1" showInputMessage="1" showErrorMessage="1" xr:uid="{00000000-0002-0000-0100-000001000000}">
          <x14:formula1>
            <xm:f>Validation_Sheet!$B$2:$B$5</xm:f>
          </x14:formula1>
          <xm:sqref>E11</xm:sqref>
        </x14:dataValidation>
        <x14:dataValidation type="list" allowBlank="1" showInputMessage="1" showErrorMessage="1" xr:uid="{00000000-0002-0000-0100-000002000000}">
          <x14:formula1>
            <xm:f>Validation_Sheet!$C$2:$C999</xm:f>
          </x14:formula1>
          <xm:sqref>E12:E13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5"/>
  </sheetPr>
  <dimension ref="A1:T13"/>
  <sheetViews>
    <sheetView showGridLines="0" zoomScale="40" zoomScaleNormal="40" workbookViewId="0">
      <pane ySplit="4" topLeftCell="A5" activePane="bottomLeft" state="frozen"/>
      <selection pane="bottomLeft" activeCell="L6" sqref="L6"/>
    </sheetView>
  </sheetViews>
  <sheetFormatPr defaultColWidth="0" defaultRowHeight="26.25" zeroHeight="1"/>
  <cols>
    <col min="1" max="2" width="9.140625" customWidth="1"/>
    <col min="3" max="3" width="6.5703125" style="14" bestFit="1" customWidth="1"/>
    <col min="4" max="4" width="58.5703125" bestFit="1" customWidth="1"/>
    <col min="5" max="5" width="7.28515625" style="14" bestFit="1" customWidth="1"/>
    <col min="6" max="6" width="61.140625" customWidth="1"/>
    <col min="7" max="7" width="7.28515625" style="14" bestFit="1" customWidth="1"/>
    <col min="8" max="8" width="40" customWidth="1"/>
    <col min="9" max="9" width="7.28515625" style="14" bestFit="1" customWidth="1"/>
    <col min="10" max="10" width="40" customWidth="1"/>
    <col min="11" max="11" width="7.28515625" style="14" bestFit="1" customWidth="1"/>
    <col min="12" max="12" width="40" customWidth="1"/>
    <col min="13" max="13" width="7.28515625" style="14" bestFit="1" customWidth="1"/>
    <col min="14" max="14" width="40" customWidth="1"/>
    <col min="15" max="15" width="7.28515625" style="14" bestFit="1" customWidth="1"/>
    <col min="16" max="16" width="40" customWidth="1"/>
    <col min="17" max="17" width="9.140625" customWidth="1"/>
    <col min="18" max="18" width="9.140625" hidden="1" customWidth="1"/>
    <col min="19" max="19" width="12.7109375" hidden="1" customWidth="1"/>
    <col min="20" max="20" width="11.5703125" hidden="1" customWidth="1"/>
    <col min="21" max="16384" width="9.140625" hidden="1"/>
  </cols>
  <sheetData>
    <row r="1" spans="3:20" ht="147.75" customHeight="1"/>
    <row r="4" spans="3:20" ht="47.25" customHeight="1">
      <c r="C4" s="73" t="s">
        <v>40</v>
      </c>
      <c r="D4" s="74"/>
      <c r="E4" s="73" t="s">
        <v>41</v>
      </c>
      <c r="F4" s="74"/>
      <c r="G4" s="73" t="s">
        <v>42</v>
      </c>
      <c r="H4" s="74"/>
      <c r="I4" s="73" t="s">
        <v>43</v>
      </c>
      <c r="J4" s="74"/>
      <c r="K4" s="73" t="s">
        <v>44</v>
      </c>
      <c r="L4" s="74"/>
      <c r="M4" s="73" t="s">
        <v>45</v>
      </c>
      <c r="N4" s="74"/>
      <c r="O4" s="73" t="s">
        <v>46</v>
      </c>
      <c r="P4" s="74"/>
      <c r="S4" t="s">
        <v>39</v>
      </c>
      <c r="T4">
        <f ca="1">MONTH(T5)</f>
        <v>3</v>
      </c>
    </row>
    <row r="5" spans="3:20" ht="120" customHeight="1">
      <c r="C5" s="15">
        <f ca="1">DATE($T$6,$T$4,1)-WEEKDAY(DATE($T$6,$T$4,1),2)+1</f>
        <v>46076</v>
      </c>
      <c r="D5" s="20" t="str" cm="1">
        <f t="array" aca="1" ref="D5" ca="1">IFERROR(_xlfn.TEXTJOIN(CHAR(10),TRUE,_xlfn._xlws.FILTER('Working Sheet'!$R:$R,'Working Sheet'!$B:$B=Check_On_Calander!C5)), "")</f>
        <v/>
      </c>
      <c r="E5" s="20">
        <f ca="1">C5+1</f>
        <v>46077</v>
      </c>
      <c r="F5" s="20" t="str" cm="1">
        <f t="array" aca="1" ref="F5" ca="1">IFERROR(_xlfn.TEXTJOIN(CHAR(10),TRUE,_xlfn._xlws.FILTER('Working Sheet'!$R:$R,'Working Sheet'!$B:$B=Check_On_Calander!E5)), "")</f>
        <v/>
      </c>
      <c r="G5" s="20">
        <f ca="1">E5+1</f>
        <v>46078</v>
      </c>
      <c r="H5" s="20" t="str" cm="1">
        <f t="array" aca="1" ref="H5" ca="1">IFERROR(_xlfn.TEXTJOIN(CHAR(10),TRUE,_xlfn._xlws.FILTER('Working Sheet'!$R:$R,'Working Sheet'!$B:$B=Check_On_Calander!G5)), "")</f>
        <v/>
      </c>
      <c r="I5" s="20">
        <f ca="1">G5+1</f>
        <v>46079</v>
      </c>
      <c r="J5" s="20" t="str" cm="1">
        <f t="array" aca="1" ref="J5" ca="1">IFERROR(_xlfn.TEXTJOIN(CHAR(10),TRUE,_xlfn._xlws.FILTER('Working Sheet'!$R:$R,'Working Sheet'!$B:$B=Check_On_Calander!I5)), "")</f>
        <v/>
      </c>
      <c r="K5" s="20">
        <f ca="1">I5+1</f>
        <v>46080</v>
      </c>
      <c r="L5" s="20" t="str" cm="1">
        <f t="array" aca="1" ref="L5" ca="1">IFERROR(_xlfn.TEXTJOIN(CHAR(10),TRUE,_xlfn._xlws.FILTER('Working Sheet'!$R:$R,'Working Sheet'!$B:$B=Check_On_Calander!K5)), "")</f>
        <v/>
      </c>
      <c r="M5" s="21">
        <f ca="1">K5+1</f>
        <v>46081</v>
      </c>
      <c r="N5" s="20" t="str" cm="1">
        <f t="array" aca="1" ref="N5" ca="1">IFERROR(_xlfn.TEXTJOIN(CHAR(10),TRUE,_xlfn._xlws.FILTER('Working Sheet'!$R:$R,'Working Sheet'!$B:$B=Check_On_Calander!M5)), "")</f>
        <v/>
      </c>
      <c r="O5" s="21">
        <f t="shared" ref="O5" ca="1" si="0">M5+1</f>
        <v>46082</v>
      </c>
      <c r="P5" s="20" t="str" cm="1">
        <f t="array" aca="1" ref="P5" ca="1">IFERROR(_xlfn.TEXTJOIN(CHAR(10),TRUE,_xlfn._xlws.FILTER('Working Sheet'!$R:$R,'Working Sheet'!$B:$B=Check_On_Calander!O5)), "")</f>
        <v/>
      </c>
      <c r="S5" t="s">
        <v>47</v>
      </c>
      <c r="T5" s="10">
        <f ca="1">TODAY()</f>
        <v>46102</v>
      </c>
    </row>
    <row r="6" spans="3:20" ht="120" customHeight="1">
      <c r="C6" s="15">
        <f ca="1">C5+7</f>
        <v>46083</v>
      </c>
      <c r="D6" s="20" t="str" cm="1">
        <f t="array" aca="1" ref="D6" ca="1">IFERROR(_xlfn.TEXTJOIN(CHAR(10),TRUE,_xlfn._xlws.FILTER('Working Sheet'!$R:$R,'Working Sheet'!$B:$B=Check_On_Calander!C6)), "")</f>
        <v/>
      </c>
      <c r="E6" s="20">
        <f t="shared" ref="E6:E11" ca="1" si="1">E5+7</f>
        <v>46084</v>
      </c>
      <c r="F6" s="20" t="str" cm="1">
        <f t="array" aca="1" ref="F6" ca="1">IFERROR(_xlfn.TEXTJOIN(CHAR(10),TRUE,_xlfn._xlws.FILTER('Working Sheet'!$R:$R,'Working Sheet'!$B:$B=Check_On_Calander!E6)), "")</f>
        <v/>
      </c>
      <c r="G6" s="20">
        <f t="shared" ref="G6:G11" ca="1" si="2">G5+7</f>
        <v>46085</v>
      </c>
      <c r="H6" s="20" t="str" cm="1">
        <f t="array" aca="1" ref="H6" ca="1">IFERROR(_xlfn.TEXTJOIN(CHAR(10),TRUE,_xlfn._xlws.FILTER('Working Sheet'!$R:$R,'Working Sheet'!$B:$B=Check_On_Calander!G6)), "")</f>
        <v/>
      </c>
      <c r="I6" s="20">
        <f t="shared" ref="I6:I11" ca="1" si="3">I5+7</f>
        <v>46086</v>
      </c>
      <c r="J6" s="20" t="str" cm="1">
        <f t="array" aca="1" ref="J6" ca="1">IFERROR(_xlfn.TEXTJOIN(CHAR(10),TRUE,_xlfn._xlws.FILTER('Working Sheet'!$R:$R,'Working Sheet'!$B:$B=Check_On_Calander!I6)), "")</f>
        <v/>
      </c>
      <c r="K6" s="20">
        <f t="shared" ref="K6:K11" ca="1" si="4">K5+7</f>
        <v>46087</v>
      </c>
      <c r="L6" s="20" t="str" cm="1">
        <f t="array" aca="1" ref="L6" ca="1">IFERROR(_xlfn.TEXTJOIN(CHAR(10),TRUE,_xlfn._xlws.FILTER('Working Sheet'!$R:$R,'Working Sheet'!$B:$B=Check_On_Calander!K6)), "")</f>
        <v/>
      </c>
      <c r="M6" s="21">
        <f t="shared" ref="M6:M11" ca="1" si="5">M5+7</f>
        <v>46088</v>
      </c>
      <c r="N6" s="20" t="str" cm="1">
        <f t="array" aca="1" ref="N6" ca="1">IFERROR(_xlfn.TEXTJOIN(CHAR(10),TRUE,_xlfn._xlws.FILTER('Working Sheet'!$R:$R,'Working Sheet'!$B:$B=Check_On_Calander!M6)), "")</f>
        <v/>
      </c>
      <c r="O6" s="21">
        <f t="shared" ref="O6:O11" ca="1" si="6">O5+7</f>
        <v>46089</v>
      </c>
      <c r="P6" s="20" t="str" cm="1">
        <f t="array" aca="1" ref="P6" ca="1">IFERROR(_xlfn.TEXTJOIN(CHAR(10),TRUE,_xlfn._xlws.FILTER('Working Sheet'!$R:$R,'Working Sheet'!$B:$B=Check_On_Calander!O6)), "")</f>
        <v/>
      </c>
      <c r="S6" t="s">
        <v>48</v>
      </c>
      <c r="T6">
        <f ca="1">YEAR(T5)</f>
        <v>2026</v>
      </c>
    </row>
    <row r="7" spans="3:20" ht="120" customHeight="1">
      <c r="C7" s="15">
        <f t="shared" ref="C7:C11" ca="1" si="7">C6+7</f>
        <v>46090</v>
      </c>
      <c r="D7" s="20" t="str" cm="1">
        <f t="array" aca="1" ref="D7" ca="1">IFERROR(_xlfn.TEXTJOIN(CHAR(10),TRUE,_xlfn._xlws.FILTER('Working Sheet'!$R:$R,'Working Sheet'!$B:$B=Check_On_Calander!C7)), "")</f>
        <v/>
      </c>
      <c r="E7" s="20">
        <f t="shared" ca="1" si="1"/>
        <v>46091</v>
      </c>
      <c r="F7" s="20" t="str" cm="1">
        <f t="array" aca="1" ref="F7" ca="1">IFERROR(_xlfn.TEXTJOIN(CHAR(10),TRUE,_xlfn._xlws.FILTER('Working Sheet'!$R:$R,'Working Sheet'!$B:$B=Check_On_Calander!E7)), "")</f>
        <v/>
      </c>
      <c r="G7" s="20">
        <f t="shared" ca="1" si="2"/>
        <v>46092</v>
      </c>
      <c r="H7" s="20" t="str" cm="1">
        <f t="array" aca="1" ref="H7" ca="1">IFERROR(_xlfn.TEXTJOIN(CHAR(10),TRUE,_xlfn._xlws.FILTER('Working Sheet'!$R:$R,'Working Sheet'!$B:$B=Check_On_Calander!G7)), "")</f>
        <v/>
      </c>
      <c r="I7" s="20">
        <f t="shared" ca="1" si="3"/>
        <v>46093</v>
      </c>
      <c r="J7" s="20" t="str" cm="1">
        <f t="array" aca="1" ref="J7" ca="1">IFERROR(_xlfn.TEXTJOIN(CHAR(10),TRUE,_xlfn._xlws.FILTER('Working Sheet'!$R:$R,'Working Sheet'!$B:$B=Check_On_Calander!I7)), "")</f>
        <v/>
      </c>
      <c r="K7" s="20">
        <f t="shared" ca="1" si="4"/>
        <v>46094</v>
      </c>
      <c r="L7" s="20" t="str" cm="1">
        <f t="array" aca="1" ref="L7" ca="1">IFERROR(_xlfn.TEXTJOIN(CHAR(10),TRUE,_xlfn._xlws.FILTER('Working Sheet'!$R:$R,'Working Sheet'!$B:$B=Check_On_Calander!K7)), "")</f>
        <v/>
      </c>
      <c r="M7" s="21">
        <f t="shared" ca="1" si="5"/>
        <v>46095</v>
      </c>
      <c r="N7" s="20" t="str" cm="1">
        <f t="array" aca="1" ref="N7" ca="1">IFERROR(_xlfn.TEXTJOIN(CHAR(10),TRUE,_xlfn._xlws.FILTER('Working Sheet'!$R:$R,'Working Sheet'!$B:$B=Check_On_Calander!M7)), "")</f>
        <v/>
      </c>
      <c r="O7" s="21">
        <f t="shared" ca="1" si="6"/>
        <v>46096</v>
      </c>
      <c r="P7" s="20" t="str" cm="1">
        <f t="array" aca="1" ref="P7" ca="1">IFERROR(_xlfn.TEXTJOIN(CHAR(10),TRUE,_xlfn._xlws.FILTER('Working Sheet'!$R:$R,'Working Sheet'!$B:$B=Check_On_Calander!O7)), "")</f>
        <v/>
      </c>
    </row>
    <row r="8" spans="3:20" ht="120" customHeight="1">
      <c r="C8" s="15">
        <f t="shared" ca="1" si="7"/>
        <v>46097</v>
      </c>
      <c r="D8" s="20" t="str" cm="1">
        <f t="array" aca="1" ref="D8" ca="1">IFERROR(_xlfn.TEXTJOIN(CHAR(10),TRUE,_xlfn._xlws.FILTER('Working Sheet'!$R:$R,'Working Sheet'!$B:$B=Check_On_Calander!C8)), "")</f>
        <v/>
      </c>
      <c r="E8" s="20">
        <f t="shared" ca="1" si="1"/>
        <v>46098</v>
      </c>
      <c r="F8" s="20" t="str" cm="1">
        <f t="array" aca="1" ref="F8" ca="1">IFERROR(_xlfn.TEXTJOIN(CHAR(10),TRUE,_xlfn._xlws.FILTER('Working Sheet'!$R:$R,'Working Sheet'!$B:$B=Check_On_Calander!E8)), "")</f>
        <v/>
      </c>
      <c r="G8" s="20">
        <f t="shared" ca="1" si="2"/>
        <v>46099</v>
      </c>
      <c r="H8" s="20" t="str" cm="1">
        <f t="array" aca="1" ref="H8" ca="1">IFERROR(_xlfn.TEXTJOIN(CHAR(10),TRUE,_xlfn._xlws.FILTER('Working Sheet'!$R:$R,'Working Sheet'!$B:$B=Check_On_Calander!G8)), "")</f>
        <v/>
      </c>
      <c r="I8" s="20">
        <f t="shared" ca="1" si="3"/>
        <v>46100</v>
      </c>
      <c r="J8" s="20" t="str" cm="1">
        <f t="array" aca="1" ref="J8" ca="1">IFERROR(_xlfn.TEXTJOIN(CHAR(10),TRUE,_xlfn._xlws.FILTER('Working Sheet'!$R:$R,'Working Sheet'!$B:$B=Check_On_Calander!I8)), "")</f>
        <v/>
      </c>
      <c r="K8" s="20">
        <f t="shared" ca="1" si="4"/>
        <v>46101</v>
      </c>
      <c r="L8" s="20" t="str" cm="1">
        <f t="array" aca="1" ref="L8" ca="1">IFERROR(_xlfn.TEXTJOIN(CHAR(10),TRUE,_xlfn._xlws.FILTER('Working Sheet'!$R:$R,'Working Sheet'!$B:$B=Check_On_Calander!K8)), "")</f>
        <v/>
      </c>
      <c r="M8" s="21">
        <f t="shared" ca="1" si="5"/>
        <v>46102</v>
      </c>
      <c r="N8" s="20" t="str" cm="1">
        <f t="array" aca="1" ref="N8" ca="1">IFERROR(_xlfn.TEXTJOIN(CHAR(10),TRUE,_xlfn._xlws.FILTER('Working Sheet'!$R:$R,'Working Sheet'!$B:$B=Check_On_Calander!M8)), "")</f>
        <v/>
      </c>
      <c r="O8" s="21">
        <f t="shared" ca="1" si="6"/>
        <v>46103</v>
      </c>
      <c r="P8" s="20" t="str" cm="1">
        <f t="array" aca="1" ref="P8" ca="1">IFERROR(_xlfn.TEXTJOIN(CHAR(10),TRUE,_xlfn._xlws.FILTER('Working Sheet'!$R:$R,'Working Sheet'!$B:$B=Check_On_Calander!O8)), "")</f>
        <v/>
      </c>
    </row>
    <row r="9" spans="3:20" ht="120" customHeight="1">
      <c r="C9" s="15">
        <f t="shared" ca="1" si="7"/>
        <v>46104</v>
      </c>
      <c r="D9" s="20" t="str" cm="1">
        <f t="array" aca="1" ref="D9" ca="1">IFERROR(_xlfn.TEXTJOIN(CHAR(10),TRUE,_xlfn._xlws.FILTER('Working Sheet'!$R:$R,'Working Sheet'!$B:$B=Check_On_Calander!C9)), "")</f>
        <v/>
      </c>
      <c r="E9" s="20">
        <f t="shared" ca="1" si="1"/>
        <v>46105</v>
      </c>
      <c r="F9" s="20" t="str" cm="1">
        <f t="array" aca="1" ref="F9" ca="1">IFERROR(_xlfn.TEXTJOIN(CHAR(10),TRUE,_xlfn._xlws.FILTER('Working Sheet'!$R:$R,'Working Sheet'!$B:$B=Check_On_Calander!E9)), "")</f>
        <v/>
      </c>
      <c r="G9" s="20">
        <f t="shared" ca="1" si="2"/>
        <v>46106</v>
      </c>
      <c r="H9" s="20" t="str" cm="1">
        <f t="array" aca="1" ref="H9" ca="1">IFERROR(_xlfn.TEXTJOIN(CHAR(10),TRUE,_xlfn._xlws.FILTER('Working Sheet'!$R:$R,'Working Sheet'!$B:$B=Check_On_Calander!G9)), "")</f>
        <v/>
      </c>
      <c r="I9" s="20">
        <f t="shared" ca="1" si="3"/>
        <v>46107</v>
      </c>
      <c r="J9" s="20" t="str" cm="1">
        <f t="array" aca="1" ref="J9" ca="1">IFERROR(_xlfn.TEXTJOIN(CHAR(10),TRUE,_xlfn._xlws.FILTER('Working Sheet'!$R:$R,'Working Sheet'!$B:$B=Check_On_Calander!I9)), "")</f>
        <v/>
      </c>
      <c r="K9" s="20">
        <f t="shared" ca="1" si="4"/>
        <v>46108</v>
      </c>
      <c r="L9" s="20" t="str" cm="1">
        <f t="array" aca="1" ref="L9" ca="1">IFERROR(_xlfn.TEXTJOIN(CHAR(10),TRUE,_xlfn._xlws.FILTER('Working Sheet'!$R:$R,'Working Sheet'!$B:$B=Check_On_Calander!K9)), "")</f>
        <v/>
      </c>
      <c r="M9" s="21">
        <f t="shared" ca="1" si="5"/>
        <v>46109</v>
      </c>
      <c r="N9" s="20" t="str" cm="1">
        <f t="array" aca="1" ref="N9" ca="1">IFERROR(_xlfn.TEXTJOIN(CHAR(10),TRUE,_xlfn._xlws.FILTER('Working Sheet'!$R:$R,'Working Sheet'!$B:$B=Check_On_Calander!M9)), "")</f>
        <v/>
      </c>
      <c r="O9" s="21">
        <f t="shared" ca="1" si="6"/>
        <v>46110</v>
      </c>
      <c r="P9" s="20" t="str" cm="1">
        <f t="array" aca="1" ref="P9" ca="1">IFERROR(_xlfn.TEXTJOIN(CHAR(10),TRUE,_xlfn._xlws.FILTER('Working Sheet'!$R:$R,'Working Sheet'!$B:$B=Check_On_Calander!O9)), "")</f>
        <v/>
      </c>
    </row>
    <row r="10" spans="3:20" ht="120" customHeight="1">
      <c r="C10" s="15">
        <f t="shared" ca="1" si="7"/>
        <v>46111</v>
      </c>
      <c r="D10" s="20" t="str" cm="1">
        <f t="array" aca="1" ref="D10" ca="1">IFERROR(_xlfn.TEXTJOIN(CHAR(10),TRUE,_xlfn._xlws.FILTER('Working Sheet'!$R:$R,'Working Sheet'!$B:$B=Check_On_Calander!C10)), "")</f>
        <v/>
      </c>
      <c r="E10" s="20">
        <f t="shared" ca="1" si="1"/>
        <v>46112</v>
      </c>
      <c r="F10" s="20" t="str" cm="1">
        <f t="array" aca="1" ref="F10" ca="1">IFERROR(_xlfn.TEXTJOIN(CHAR(10),TRUE,_xlfn._xlws.FILTER('Working Sheet'!$R:$R,'Working Sheet'!$B:$B=Check_On_Calander!E10)), "")</f>
        <v/>
      </c>
      <c r="G10" s="20">
        <f t="shared" ca="1" si="2"/>
        <v>46113</v>
      </c>
      <c r="H10" s="20" t="str" cm="1">
        <f t="array" aca="1" ref="H10" ca="1">IFERROR(_xlfn.TEXTJOIN(CHAR(10),TRUE,_xlfn._xlws.FILTER('Working Sheet'!$R:$R,'Working Sheet'!$B:$B=Check_On_Calander!G10)), "")</f>
        <v/>
      </c>
      <c r="I10" s="20">
        <f t="shared" ca="1" si="3"/>
        <v>46114</v>
      </c>
      <c r="J10" s="20" t="str">
        <f ca="1">IFERROR(_xlfn.TEXTJOIN(CHAR(10),TRUE,_xlfn._xlws.FILTER('Working Sheet'!$R:$R,'Working Sheet'!$B:$B=Check_On_Calander!I10)), "")</f>
        <v/>
      </c>
      <c r="K10" s="20">
        <f t="shared" ca="1" si="4"/>
        <v>46115</v>
      </c>
      <c r="L10" s="20" t="str" cm="1">
        <f t="array" aca="1" ref="L10" ca="1">IFERROR(_xlfn.TEXTJOIN(CHAR(10),TRUE,_xlfn._xlws.FILTER('Working Sheet'!$R:$R,'Working Sheet'!$B:$B=Check_On_Calander!K10)), "")</f>
        <v/>
      </c>
      <c r="M10" s="21">
        <f t="shared" ca="1" si="5"/>
        <v>46116</v>
      </c>
      <c r="N10" s="20" t="str" cm="1">
        <f t="array" aca="1" ref="N10" ca="1">IFERROR(_xlfn.TEXTJOIN(CHAR(10),TRUE,_xlfn._xlws.FILTER('Working Sheet'!$R:$R,'Working Sheet'!$B:$B=Check_On_Calander!M10)), "")</f>
        <v/>
      </c>
      <c r="O10" s="21">
        <f t="shared" ca="1" si="6"/>
        <v>46117</v>
      </c>
      <c r="P10" s="20" t="str" cm="1">
        <f t="array" aca="1" ref="P10" ca="1">IFERROR(_xlfn.TEXTJOIN(CHAR(10),TRUE,_xlfn._xlws.FILTER('Working Sheet'!$R:$R,'Working Sheet'!$B:$B=Check_On_Calander!O10)), "")</f>
        <v/>
      </c>
    </row>
    <row r="11" spans="3:20" ht="120" customHeight="1">
      <c r="C11" s="15">
        <f t="shared" ca="1" si="7"/>
        <v>46118</v>
      </c>
      <c r="D11" s="20" t="str" cm="1">
        <f t="array" aca="1" ref="D11" ca="1">IFERROR(_xlfn.TEXTJOIN(CHAR(10),TRUE,_xlfn._xlws.FILTER('Working Sheet'!$R:$R,'Working Sheet'!$B:$B=Check_On_Calander!C11)), "")</f>
        <v/>
      </c>
      <c r="E11" s="20">
        <f t="shared" ca="1" si="1"/>
        <v>46119</v>
      </c>
      <c r="F11" s="20" t="str" cm="1">
        <f t="array" aca="1" ref="F11" ca="1">IFERROR(_xlfn.TEXTJOIN(CHAR(10),TRUE,_xlfn._xlws.FILTER('Working Sheet'!$R:$R,'Working Sheet'!$B:$B=Check_On_Calander!E11)), "")</f>
        <v/>
      </c>
      <c r="G11" s="20">
        <f t="shared" ca="1" si="2"/>
        <v>46120</v>
      </c>
      <c r="H11" s="20" t="str" cm="1">
        <f t="array" aca="1" ref="H11" ca="1">IFERROR(_xlfn.TEXTJOIN(CHAR(10),TRUE,_xlfn._xlws.FILTER('Working Sheet'!$R:$R,'Working Sheet'!$B:$B=Check_On_Calander!G11)), "")</f>
        <v/>
      </c>
      <c r="I11" s="20">
        <f t="shared" ca="1" si="3"/>
        <v>46121</v>
      </c>
      <c r="J11" s="20" t="str" cm="1">
        <f t="array" aca="1" ref="J11" ca="1">IFERROR(_xlfn.TEXTJOIN(CHAR(10),TRUE,_xlfn._xlws.FILTER('Working Sheet'!$R:$R,'Working Sheet'!$B:$B=Check_On_Calander!I11)), "")</f>
        <v/>
      </c>
      <c r="K11" s="20">
        <f t="shared" ca="1" si="4"/>
        <v>46122</v>
      </c>
      <c r="L11" s="20" t="str" cm="1">
        <f t="array" aca="1" ref="L11" ca="1">IFERROR(_xlfn.TEXTJOIN(CHAR(10),TRUE,_xlfn._xlws.FILTER('Working Sheet'!$R:$R,'Working Sheet'!$B:$B=Check_On_Calander!K11)), "")</f>
        <v/>
      </c>
      <c r="M11" s="21">
        <f t="shared" ca="1" si="5"/>
        <v>46123</v>
      </c>
      <c r="N11" s="20" t="str" cm="1">
        <f t="array" aca="1" ref="N11" ca="1">IFERROR(_xlfn.TEXTJOIN(CHAR(10),TRUE,_xlfn._xlws.FILTER('Working Sheet'!$R:$R,'Working Sheet'!$B:$B=Check_On_Calander!M11)), "")</f>
        <v/>
      </c>
      <c r="O11" s="21">
        <f t="shared" ca="1" si="6"/>
        <v>46124</v>
      </c>
      <c r="P11" s="20" t="str" cm="1">
        <f t="array" aca="1" ref="P11" ca="1">IFERROR(_xlfn.TEXTJOIN(CHAR(10),TRUE,_xlfn._xlws.FILTER('Working Sheet'!$R:$R,'Working Sheet'!$B:$B=Check_On_Calander!O11)), "")</f>
        <v/>
      </c>
    </row>
    <row r="12" spans="3:20"/>
    <row r="13" spans="3:20"/>
  </sheetData>
  <mergeCells count="7">
    <mergeCell ref="O4:P4"/>
    <mergeCell ref="C4:D4"/>
    <mergeCell ref="E4:F4"/>
    <mergeCell ref="G4:H4"/>
    <mergeCell ref="I4:J4"/>
    <mergeCell ref="K4:L4"/>
    <mergeCell ref="M4:N4"/>
  </mergeCells>
  <conditionalFormatting sqref="C5:P11">
    <cfRule type="expression" dxfId="20" priority="2">
      <formula>MONTH(C5)&lt;&gt;$T$4</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T498"/>
  <sheetViews>
    <sheetView zoomScale="85" zoomScaleNormal="85" workbookViewId="0">
      <pane xSplit="1" ySplit="1" topLeftCell="E2" activePane="bottomRight" state="frozen"/>
      <selection pane="topRight" activeCell="B1" sqref="B1"/>
      <selection pane="bottomLeft" activeCell="A4" sqref="A4"/>
      <selection pane="bottomRight" activeCell="M3" sqref="M3"/>
    </sheetView>
  </sheetViews>
  <sheetFormatPr defaultColWidth="0" defaultRowHeight="24" customHeight="1"/>
  <cols>
    <col min="1" max="1" width="11.140625" bestFit="1" customWidth="1"/>
    <col min="2" max="2" width="17.140625" style="28" bestFit="1" customWidth="1"/>
    <col min="3" max="3" width="14" style="28" bestFit="1" customWidth="1"/>
    <col min="4" max="4" width="18.28515625" style="28" customWidth="1"/>
    <col min="5" max="5" width="18.140625" style="28" bestFit="1" customWidth="1"/>
    <col min="6" max="6" width="17.85546875" style="28" bestFit="1" customWidth="1"/>
    <col min="7" max="7" width="36.5703125" style="28" bestFit="1" customWidth="1"/>
    <col min="8" max="8" width="24.85546875" style="30" bestFit="1" customWidth="1"/>
    <col min="9" max="9" width="26.42578125" style="30" bestFit="1" customWidth="1"/>
    <col min="10" max="10" width="17.28515625" style="28" bestFit="1" customWidth="1"/>
    <col min="11" max="11" width="16.85546875" style="28" bestFit="1" customWidth="1"/>
    <col min="12" max="12" width="30.5703125" style="28" bestFit="1" customWidth="1"/>
    <col min="13" max="14" width="22.85546875" style="37" customWidth="1"/>
    <col min="15" max="15" width="4" hidden="1" customWidth="1"/>
    <col min="16" max="16" width="49.28515625" hidden="1" customWidth="1"/>
    <col min="17" max="17" width="34.42578125" hidden="1" customWidth="1"/>
    <col min="18" max="18" width="39.85546875" hidden="1" customWidth="1"/>
    <col min="19" max="19" width="86.7109375" hidden="1" customWidth="1"/>
    <col min="20" max="20" width="30.42578125" hidden="1" customWidth="1"/>
    <col min="21" max="16384" width="9.140625" hidden="1"/>
  </cols>
  <sheetData>
    <row r="1" spans="1:20" s="12" customFormat="1" ht="38.25" customHeight="1">
      <c r="A1" s="22" t="s">
        <v>0</v>
      </c>
      <c r="B1" s="24" t="s">
        <v>14</v>
      </c>
      <c r="C1" s="24" t="s">
        <v>4</v>
      </c>
      <c r="D1" s="24" t="s">
        <v>1</v>
      </c>
      <c r="E1" s="24" t="s">
        <v>5</v>
      </c>
      <c r="F1" s="24" t="s">
        <v>57</v>
      </c>
      <c r="G1" s="24" t="s">
        <v>2</v>
      </c>
      <c r="H1" s="24" t="s">
        <v>15</v>
      </c>
      <c r="I1" s="24" t="s">
        <v>16</v>
      </c>
      <c r="J1" s="24" t="s">
        <v>17</v>
      </c>
      <c r="K1" s="24" t="s">
        <v>56</v>
      </c>
      <c r="L1" s="24" t="s">
        <v>13</v>
      </c>
      <c r="M1" s="34" t="s">
        <v>59</v>
      </c>
      <c r="N1" s="34"/>
      <c r="P1" s="13" t="s">
        <v>49</v>
      </c>
      <c r="R1" s="13" t="s">
        <v>50</v>
      </c>
      <c r="S1" s="12" t="s">
        <v>53</v>
      </c>
      <c r="T1" s="12" t="s">
        <v>58</v>
      </c>
    </row>
    <row r="2" spans="1:20" ht="24" customHeight="1">
      <c r="A2" s="23">
        <f>ROW()-1</f>
        <v>1</v>
      </c>
      <c r="B2" s="16">
        <v>45324</v>
      </c>
      <c r="C2" s="17" t="str">
        <f>IF(ISBLANK(B2)," ",TEXT(B2,"MMMM"))</f>
        <v>February</v>
      </c>
      <c r="D2" s="17" t="str">
        <f>IF(ISBLANK(B2)," ",TEXT(B2,"DDDD"))</f>
        <v>Friday</v>
      </c>
      <c r="E2" s="17" t="s">
        <v>7</v>
      </c>
      <c r="F2" s="17" t="s">
        <v>51</v>
      </c>
      <c r="G2" s="17" t="s">
        <v>11</v>
      </c>
      <c r="H2" s="18">
        <v>0.91666666666666663</v>
      </c>
      <c r="I2" s="18">
        <v>0.9375</v>
      </c>
      <c r="J2" s="19">
        <f>(I2-H2)</f>
        <v>2.083333333333337E-2</v>
      </c>
      <c r="K2" s="17" t="s">
        <v>51</v>
      </c>
      <c r="L2" s="17" t="s">
        <v>51</v>
      </c>
      <c r="M2" s="35" t="str">
        <f>HYPERLINK("mailto:reception@ondirect.in;facilities@ondirect.in?subject=Booking of "&amp;E2&amp;" - "&amp;G2&amp;"&amp;body=" &amp;S2,"DraftMail")</f>
        <v>DraftMail</v>
      </c>
      <c r="N2" s="35"/>
      <c r="O2">
        <f t="shared" ref="O2:O65" si="0">COUNTIF($P$2:$P$1048576,P2)</f>
        <v>1</v>
      </c>
      <c r="P2" t="str">
        <f t="shared" ref="P2:P63" si="1">_xlfn.CONCAT(TEXT(DATE(YEAR(B2),MONTH(B2),DAY(B2)),"DD-MMM-YY")," ",G2,,"-",TEXT(TIME(HOUR(H2),MINUTE(H2),SECOND(H2)),"HH:MM:SS"),"- ",TEXT(TIME(HOUR(I2),MINUTE(I2),HOUR(I2)),"Hh:MM:SS"))</f>
        <v>02-Feb-24 WTC (Training Room)-22:00:00- 22:30:22</v>
      </c>
      <c r="R2" t="str">
        <f t="shared" ref="R2:R63" si="2">(_xlfn.CONCAT(TEXT(TIME(HOUR(H2),MINUTE(H2),SECOND(H2)),"HH:MM:SS"),"- ",TEXT(TIME(HOUR(I2),MINUTE(I2),HOUR(I2)),"Hh:MM:SS"),"-",G2))</f>
        <v>22:00:00- 22:30:22-WTC (Training Room)</v>
      </c>
      <c r="S2" t="str">
        <f>"Dear Team, Hope this message finds you will. We have booked a SFO Requested name by "&amp;F2</f>
        <v>Dear Team, Hope this message finds you will. We have booked a SFO Requested name by suuq</v>
      </c>
      <c r="T2" t="str">
        <f>"Dear Team, Hope this message finds you will. We have booked a SFO Requested name by "&amp;F2&amp;", and Kindly request your assistance in ensuring it is ready at the designated time mentioned below Location: "&amp;G2&amp;" Time In: "&amp;TEXT(TIME(HOUR(H2),MINUTE(H2),SECOND(H2)),"HH:MM:SS")&amp;" Time Out: "&amp;TEXT(TIME(HOUR(I2),MINUTE(I2),HOUR(I2)),"Hh:MM:SS")</f>
        <v>Dear Team, Hope this message finds you will. We have booked a SFO Requested name by suuq, and Kindly request your assistance in ensuring it is ready at the designated time mentioned below Location: WTC (Training Room) Time In: 22:00:00 Time Out: 22:30:22</v>
      </c>
    </row>
    <row r="3" spans="1:20" ht="24" customHeight="1">
      <c r="A3" s="23">
        <f t="shared" ref="A3:A66" si="3">A2+1</f>
        <v>2</v>
      </c>
      <c r="B3" s="16">
        <v>45344</v>
      </c>
      <c r="C3" s="17" t="str">
        <f>IF(ISBLANK(B3)," ",TEXT(B3,"MMMM"))</f>
        <v>February</v>
      </c>
      <c r="D3" s="17" t="str">
        <f>IF(ISBLANK(B3)," ",TEXT(B3,"DDDD"))</f>
        <v>Thursday</v>
      </c>
      <c r="E3" s="17" t="s">
        <v>7</v>
      </c>
      <c r="F3" s="17" t="s">
        <v>52</v>
      </c>
      <c r="G3" s="17" t="s">
        <v>9</v>
      </c>
      <c r="H3" s="18">
        <v>0.91666666666666663</v>
      </c>
      <c r="I3" s="18">
        <v>0.9375</v>
      </c>
      <c r="J3" s="19">
        <f>(I3-H3)</f>
        <v>2.083333333333337E-2</v>
      </c>
      <c r="K3" s="17" t="s">
        <v>52</v>
      </c>
      <c r="L3" s="17" t="s">
        <v>52</v>
      </c>
      <c r="M3" s="35" t="str">
        <f>HYPERLINK("mailto:reception@ondirect.in;facilities@ondirect.in?subject=Booking of "&amp;E3&amp;" - "&amp;G3&amp;"&amp;body=" &amp;S3,"DraftMail")</f>
        <v>DraftMail</v>
      </c>
      <c r="N3" s="35"/>
      <c r="O3">
        <f t="shared" si="0"/>
        <v>1</v>
      </c>
      <c r="P3" t="str">
        <f>_xlfn.CONCAT(TEXT(DATE(YEAR(B3),MONTH(B3),DAY(B3)),"DD-MMM-YY")," ",G3,,"-",TEXT(TIME(HOUR(H3),MINUTE(H3),SECOND(H3)),"HH:MM:SS"),"- ",TEXT(TIME(HOUR(I3),MINUTE(I3),HOUR(I3)),"Hh:MM:SS"))</f>
        <v>22-Feb-24 WTC (Conference Room)-22:00:00- 22:30:22</v>
      </c>
      <c r="R3" t="str">
        <f t="shared" si="2"/>
        <v>22:00:00- 22:30:22-WTC (Conference Room)</v>
      </c>
      <c r="S3" t="str">
        <f>"Dear Team, Hope this message finds you will. We have booked a SFO Requested name by "&amp;F3</f>
        <v>Dear Team, Hope this message finds you will. We have booked a SFO Requested name by q</v>
      </c>
    </row>
    <row r="4" spans="1:20" ht="24" customHeight="1" thickBot="1">
      <c r="A4" s="23">
        <f t="shared" si="3"/>
        <v>3</v>
      </c>
      <c r="B4" s="16">
        <v>45344</v>
      </c>
      <c r="C4" s="17" t="str">
        <f>IF(ISBLANK(B4)," ",TEXT(B4,"MMMM"))</f>
        <v>February</v>
      </c>
      <c r="D4" s="17" t="str">
        <f>IF(ISBLANK(B4)," ",TEXT(B4,"DDDD"))</f>
        <v>Thursday</v>
      </c>
      <c r="E4" s="17" t="s">
        <v>7</v>
      </c>
      <c r="F4" s="17" t="s">
        <v>52</v>
      </c>
      <c r="G4" s="17" t="s">
        <v>9</v>
      </c>
      <c r="H4" s="18">
        <v>0.79166666666666663</v>
      </c>
      <c r="I4" s="18">
        <v>0.9375</v>
      </c>
      <c r="J4" s="40">
        <f>(I4-H4)</f>
        <v>0.14583333333333337</v>
      </c>
      <c r="K4" s="39"/>
      <c r="L4" s="38"/>
      <c r="M4" s="35"/>
      <c r="N4" s="35"/>
      <c r="O4">
        <f t="shared" si="0"/>
        <v>1</v>
      </c>
      <c r="P4" t="str">
        <f t="shared" si="1"/>
        <v>22-Feb-24 WTC (Conference Room)-19:00:00- 22:30:22</v>
      </c>
      <c r="R4" t="str">
        <f t="shared" si="2"/>
        <v>19:00:00- 22:30:22-WTC (Conference Room)</v>
      </c>
    </row>
    <row r="5" spans="1:20" ht="24" customHeight="1" thickTop="1" thickBot="1">
      <c r="A5" s="23">
        <f t="shared" si="3"/>
        <v>4</v>
      </c>
      <c r="B5" s="47">
        <v>45402</v>
      </c>
      <c r="C5" s="49" t="str">
        <f>IF(ISBLANK(B5)," ",TEXT(B5,"MMMM"))</f>
        <v>April</v>
      </c>
      <c r="D5" s="49" t="str">
        <f>IF(ISBLANK(B5)," ",TEXT(B5,"DDDD"))</f>
        <v>Saturday</v>
      </c>
      <c r="E5" s="49" t="s">
        <v>7</v>
      </c>
      <c r="F5" s="49" t="s">
        <v>65</v>
      </c>
      <c r="G5" s="49" t="s">
        <v>10</v>
      </c>
      <c r="H5" s="51">
        <v>0.9375</v>
      </c>
      <c r="I5" s="51">
        <v>0.9375</v>
      </c>
      <c r="J5" s="52">
        <f>(I5-H5)</f>
        <v>0</v>
      </c>
      <c r="K5" s="49" t="s">
        <v>64</v>
      </c>
      <c r="L5" s="54" t="s">
        <v>64</v>
      </c>
      <c r="M5" s="36"/>
      <c r="N5" s="36"/>
      <c r="O5">
        <f t="shared" si="0"/>
        <v>1</v>
      </c>
      <c r="P5" t="str">
        <f t="shared" si="1"/>
        <v>20-Apr-24 Mantri (Training Room)-22:30:00- 22:30:22</v>
      </c>
      <c r="R5" t="str">
        <f t="shared" si="2"/>
        <v>22:30:00- 22:30:22-Mantri (Training Room)</v>
      </c>
    </row>
    <row r="6" spans="1:20" ht="24" customHeight="1" thickTop="1">
      <c r="A6" s="23">
        <f t="shared" si="3"/>
        <v>5</v>
      </c>
      <c r="B6" s="25"/>
      <c r="C6" s="26"/>
      <c r="D6" s="26"/>
      <c r="E6" s="26"/>
      <c r="F6" s="26"/>
      <c r="G6" s="26"/>
      <c r="H6" s="27"/>
      <c r="I6" s="27"/>
      <c r="J6" s="19"/>
      <c r="K6" s="26"/>
      <c r="L6" s="26"/>
      <c r="M6" s="36"/>
      <c r="N6" s="36"/>
      <c r="O6">
        <f t="shared" si="0"/>
        <v>492</v>
      </c>
      <c r="P6" t="str">
        <f t="shared" si="1"/>
        <v>00-Jan-00 -00:00:00- 00:00:00</v>
      </c>
      <c r="R6" t="str">
        <f t="shared" si="2"/>
        <v>00:00:00- 00:00:00-</v>
      </c>
    </row>
    <row r="7" spans="1:20" ht="24" customHeight="1">
      <c r="A7" s="23">
        <f t="shared" si="3"/>
        <v>6</v>
      </c>
      <c r="B7" s="25"/>
      <c r="C7" s="26"/>
      <c r="D7" s="26"/>
      <c r="E7" s="26"/>
      <c r="F7" s="26"/>
      <c r="G7" s="26"/>
      <c r="H7" s="27"/>
      <c r="I7" s="27"/>
      <c r="J7" s="19"/>
      <c r="K7" s="26"/>
      <c r="L7" s="26"/>
      <c r="M7" s="36"/>
      <c r="N7" s="36"/>
      <c r="O7">
        <f t="shared" si="0"/>
        <v>492</v>
      </c>
      <c r="P7" t="str">
        <f t="shared" si="1"/>
        <v>00-Jan-00 -00:00:00- 00:00:00</v>
      </c>
      <c r="R7" t="str">
        <f t="shared" si="2"/>
        <v>00:00:00- 00:00:00-</v>
      </c>
    </row>
    <row r="8" spans="1:20" ht="24" customHeight="1">
      <c r="A8" s="23">
        <f t="shared" si="3"/>
        <v>7</v>
      </c>
      <c r="B8" s="25"/>
      <c r="C8" s="26"/>
      <c r="D8" s="26"/>
      <c r="E8" s="26"/>
      <c r="F8" s="26"/>
      <c r="G8" s="26"/>
      <c r="H8" s="27"/>
      <c r="I8" s="27"/>
      <c r="J8" s="19"/>
      <c r="K8" s="26"/>
      <c r="L8" s="26"/>
      <c r="M8" s="36"/>
      <c r="N8" s="36"/>
      <c r="O8">
        <f t="shared" si="0"/>
        <v>492</v>
      </c>
      <c r="P8" t="str">
        <f t="shared" si="1"/>
        <v>00-Jan-00 -00:00:00- 00:00:00</v>
      </c>
      <c r="R8" t="str">
        <f t="shared" si="2"/>
        <v>00:00:00- 00:00:00-</v>
      </c>
    </row>
    <row r="9" spans="1:20" ht="24" customHeight="1">
      <c r="A9" s="23">
        <f t="shared" si="3"/>
        <v>8</v>
      </c>
      <c r="B9" s="25"/>
      <c r="C9" s="26"/>
      <c r="D9" s="26"/>
      <c r="E9" s="26"/>
      <c r="F9" s="26"/>
      <c r="G9" s="26"/>
      <c r="H9" s="27"/>
      <c r="I9" s="27"/>
      <c r="J9" s="19"/>
      <c r="K9" s="26"/>
      <c r="L9" s="26"/>
      <c r="M9" s="36"/>
      <c r="N9" s="36"/>
      <c r="O9">
        <f t="shared" si="0"/>
        <v>492</v>
      </c>
      <c r="P9" t="str">
        <f t="shared" si="1"/>
        <v>00-Jan-00 -00:00:00- 00:00:00</v>
      </c>
      <c r="R9" t="str">
        <f t="shared" si="2"/>
        <v>00:00:00- 00:00:00-</v>
      </c>
    </row>
    <row r="10" spans="1:20" ht="24" customHeight="1">
      <c r="A10" s="23">
        <f t="shared" si="3"/>
        <v>9</v>
      </c>
      <c r="B10" s="25"/>
      <c r="C10" s="26"/>
      <c r="D10" s="26"/>
      <c r="E10" s="26"/>
      <c r="F10" s="26"/>
      <c r="G10" s="26"/>
      <c r="H10" s="27"/>
      <c r="I10" s="27"/>
      <c r="J10" s="19"/>
      <c r="K10" s="26"/>
      <c r="L10" s="26"/>
      <c r="M10" s="36"/>
      <c r="N10" s="36"/>
      <c r="O10">
        <f t="shared" si="0"/>
        <v>492</v>
      </c>
      <c r="P10" t="str">
        <f t="shared" si="1"/>
        <v>00-Jan-00 -00:00:00- 00:00:00</v>
      </c>
      <c r="R10" t="str">
        <f t="shared" si="2"/>
        <v>00:00:00- 00:00:00-</v>
      </c>
    </row>
    <row r="11" spans="1:20" ht="24" customHeight="1">
      <c r="A11" s="23">
        <f t="shared" si="3"/>
        <v>10</v>
      </c>
      <c r="B11" s="25"/>
      <c r="C11" s="26"/>
      <c r="D11" s="26"/>
      <c r="E11" s="26"/>
      <c r="F11" s="26"/>
      <c r="G11" s="26"/>
      <c r="H11" s="27"/>
      <c r="I11" s="27"/>
      <c r="J11" s="19"/>
      <c r="K11" s="26"/>
      <c r="L11" s="26"/>
      <c r="M11" s="36"/>
      <c r="N11" s="36"/>
      <c r="O11">
        <f t="shared" si="0"/>
        <v>492</v>
      </c>
      <c r="P11" t="str">
        <f t="shared" si="1"/>
        <v>00-Jan-00 -00:00:00- 00:00:00</v>
      </c>
      <c r="R11" t="str">
        <f t="shared" si="2"/>
        <v>00:00:00- 00:00:00-</v>
      </c>
    </row>
    <row r="12" spans="1:20" ht="24" customHeight="1">
      <c r="A12" s="23">
        <f t="shared" si="3"/>
        <v>11</v>
      </c>
      <c r="B12" s="25"/>
      <c r="C12" s="26"/>
      <c r="D12" s="26"/>
      <c r="E12" s="26"/>
      <c r="F12" s="26"/>
      <c r="G12" s="26"/>
      <c r="H12" s="27"/>
      <c r="I12" s="27"/>
      <c r="J12" s="19"/>
      <c r="K12" s="26"/>
      <c r="L12" s="26"/>
      <c r="M12" s="36"/>
      <c r="N12" s="36"/>
      <c r="O12">
        <f t="shared" si="0"/>
        <v>492</v>
      </c>
      <c r="P12" t="str">
        <f t="shared" si="1"/>
        <v>00-Jan-00 -00:00:00- 00:00:00</v>
      </c>
      <c r="R12" t="str">
        <f t="shared" si="2"/>
        <v>00:00:00- 00:00:00-</v>
      </c>
    </row>
    <row r="13" spans="1:20" ht="24" customHeight="1">
      <c r="A13" s="23">
        <f t="shared" si="3"/>
        <v>12</v>
      </c>
      <c r="H13" s="28"/>
      <c r="I13" s="28"/>
      <c r="K13" s="29"/>
      <c r="O13">
        <f t="shared" si="0"/>
        <v>492</v>
      </c>
      <c r="P13" t="str">
        <f t="shared" si="1"/>
        <v>00-Jan-00 -00:00:00- 00:00:00</v>
      </c>
      <c r="R13" t="str">
        <f t="shared" si="2"/>
        <v>00:00:00- 00:00:00-</v>
      </c>
    </row>
    <row r="14" spans="1:20" ht="24" customHeight="1">
      <c r="A14" s="23">
        <f t="shared" si="3"/>
        <v>13</v>
      </c>
      <c r="O14">
        <f t="shared" si="0"/>
        <v>492</v>
      </c>
      <c r="P14" t="str">
        <f t="shared" si="1"/>
        <v>00-Jan-00 -00:00:00- 00:00:00</v>
      </c>
      <c r="R14" t="str">
        <f t="shared" si="2"/>
        <v>00:00:00- 00:00:00-</v>
      </c>
    </row>
    <row r="15" spans="1:20" ht="24" customHeight="1">
      <c r="A15" s="23">
        <f t="shared" si="3"/>
        <v>14</v>
      </c>
      <c r="O15">
        <f t="shared" si="0"/>
        <v>492</v>
      </c>
      <c r="P15" t="str">
        <f t="shared" si="1"/>
        <v>00-Jan-00 -00:00:00- 00:00:00</v>
      </c>
      <c r="R15" t="str">
        <f t="shared" si="2"/>
        <v>00:00:00- 00:00:00-</v>
      </c>
    </row>
    <row r="16" spans="1:20" ht="24" customHeight="1">
      <c r="A16" s="23">
        <f t="shared" si="3"/>
        <v>15</v>
      </c>
      <c r="O16">
        <f t="shared" si="0"/>
        <v>492</v>
      </c>
      <c r="P16" t="str">
        <f t="shared" si="1"/>
        <v>00-Jan-00 -00:00:00- 00:00:00</v>
      </c>
      <c r="R16" t="str">
        <f t="shared" si="2"/>
        <v>00:00:00- 00:00:00-</v>
      </c>
    </row>
    <row r="17" spans="1:18" ht="24" customHeight="1">
      <c r="A17" s="23">
        <f t="shared" si="3"/>
        <v>16</v>
      </c>
      <c r="O17">
        <f t="shared" si="0"/>
        <v>492</v>
      </c>
      <c r="P17" t="str">
        <f t="shared" si="1"/>
        <v>00-Jan-00 -00:00:00- 00:00:00</v>
      </c>
      <c r="R17" t="str">
        <f t="shared" si="2"/>
        <v>00:00:00- 00:00:00-</v>
      </c>
    </row>
    <row r="18" spans="1:18" ht="24" customHeight="1">
      <c r="A18" s="23">
        <f t="shared" si="3"/>
        <v>17</v>
      </c>
      <c r="O18">
        <f t="shared" si="0"/>
        <v>492</v>
      </c>
      <c r="P18" t="str">
        <f t="shared" si="1"/>
        <v>00-Jan-00 -00:00:00- 00:00:00</v>
      </c>
      <c r="R18" t="str">
        <f t="shared" si="2"/>
        <v>00:00:00- 00:00:00-</v>
      </c>
    </row>
    <row r="19" spans="1:18" ht="24" customHeight="1">
      <c r="A19" s="23">
        <f t="shared" si="3"/>
        <v>18</v>
      </c>
      <c r="O19">
        <f t="shared" si="0"/>
        <v>492</v>
      </c>
      <c r="P19" t="str">
        <f t="shared" si="1"/>
        <v>00-Jan-00 -00:00:00- 00:00:00</v>
      </c>
      <c r="R19" t="str">
        <f t="shared" si="2"/>
        <v>00:00:00- 00:00:00-</v>
      </c>
    </row>
    <row r="20" spans="1:18" ht="24" customHeight="1">
      <c r="A20" s="23">
        <f t="shared" si="3"/>
        <v>19</v>
      </c>
      <c r="O20">
        <f t="shared" si="0"/>
        <v>492</v>
      </c>
      <c r="P20" t="str">
        <f t="shared" si="1"/>
        <v>00-Jan-00 -00:00:00- 00:00:00</v>
      </c>
      <c r="R20" t="str">
        <f t="shared" si="2"/>
        <v>00:00:00- 00:00:00-</v>
      </c>
    </row>
    <row r="21" spans="1:18" ht="24" customHeight="1">
      <c r="A21" s="23">
        <f t="shared" si="3"/>
        <v>20</v>
      </c>
      <c r="O21">
        <f t="shared" si="0"/>
        <v>492</v>
      </c>
      <c r="P21" t="str">
        <f t="shared" si="1"/>
        <v>00-Jan-00 -00:00:00- 00:00:00</v>
      </c>
      <c r="R21" t="str">
        <f t="shared" si="2"/>
        <v>00:00:00- 00:00:00-</v>
      </c>
    </row>
    <row r="22" spans="1:18" ht="24" customHeight="1">
      <c r="A22" s="23">
        <f t="shared" si="3"/>
        <v>21</v>
      </c>
      <c r="O22">
        <f t="shared" si="0"/>
        <v>492</v>
      </c>
      <c r="P22" t="str">
        <f t="shared" si="1"/>
        <v>00-Jan-00 -00:00:00- 00:00:00</v>
      </c>
      <c r="R22" t="str">
        <f t="shared" si="2"/>
        <v>00:00:00- 00:00:00-</v>
      </c>
    </row>
    <row r="23" spans="1:18" ht="24" customHeight="1">
      <c r="A23" s="23">
        <f t="shared" si="3"/>
        <v>22</v>
      </c>
      <c r="O23">
        <f t="shared" si="0"/>
        <v>492</v>
      </c>
      <c r="P23" t="str">
        <f t="shared" si="1"/>
        <v>00-Jan-00 -00:00:00- 00:00:00</v>
      </c>
      <c r="R23" t="str">
        <f t="shared" si="2"/>
        <v>00:00:00- 00:00:00-</v>
      </c>
    </row>
    <row r="24" spans="1:18" ht="24" customHeight="1">
      <c r="A24" s="23">
        <f t="shared" si="3"/>
        <v>23</v>
      </c>
      <c r="O24">
        <f t="shared" si="0"/>
        <v>492</v>
      </c>
      <c r="P24" t="str">
        <f t="shared" si="1"/>
        <v>00-Jan-00 -00:00:00- 00:00:00</v>
      </c>
      <c r="R24" t="str">
        <f t="shared" si="2"/>
        <v>00:00:00- 00:00:00-</v>
      </c>
    </row>
    <row r="25" spans="1:18" ht="24" customHeight="1">
      <c r="A25" s="23">
        <f t="shared" si="3"/>
        <v>24</v>
      </c>
      <c r="O25">
        <f t="shared" si="0"/>
        <v>492</v>
      </c>
      <c r="P25" t="str">
        <f t="shared" si="1"/>
        <v>00-Jan-00 -00:00:00- 00:00:00</v>
      </c>
      <c r="R25" t="str">
        <f t="shared" si="2"/>
        <v>00:00:00- 00:00:00-</v>
      </c>
    </row>
    <row r="26" spans="1:18" ht="24" customHeight="1">
      <c r="A26" s="23">
        <f t="shared" si="3"/>
        <v>25</v>
      </c>
      <c r="O26">
        <f t="shared" si="0"/>
        <v>492</v>
      </c>
      <c r="P26" t="str">
        <f t="shared" si="1"/>
        <v>00-Jan-00 -00:00:00- 00:00:00</v>
      </c>
      <c r="R26" t="str">
        <f t="shared" si="2"/>
        <v>00:00:00- 00:00:00-</v>
      </c>
    </row>
    <row r="27" spans="1:18" ht="24" customHeight="1">
      <c r="A27" s="23">
        <f t="shared" si="3"/>
        <v>26</v>
      </c>
      <c r="O27">
        <f t="shared" si="0"/>
        <v>492</v>
      </c>
      <c r="P27" t="str">
        <f t="shared" si="1"/>
        <v>00-Jan-00 -00:00:00- 00:00:00</v>
      </c>
      <c r="R27" t="str">
        <f t="shared" si="2"/>
        <v>00:00:00- 00:00:00-</v>
      </c>
    </row>
    <row r="28" spans="1:18" ht="24" customHeight="1">
      <c r="A28" s="23">
        <f t="shared" si="3"/>
        <v>27</v>
      </c>
      <c r="O28">
        <f t="shared" si="0"/>
        <v>492</v>
      </c>
      <c r="P28" t="str">
        <f t="shared" si="1"/>
        <v>00-Jan-00 -00:00:00- 00:00:00</v>
      </c>
      <c r="R28" t="str">
        <f t="shared" si="2"/>
        <v>00:00:00- 00:00:00-</v>
      </c>
    </row>
    <row r="29" spans="1:18" ht="24" customHeight="1">
      <c r="A29" s="23">
        <f t="shared" si="3"/>
        <v>28</v>
      </c>
      <c r="O29">
        <f t="shared" si="0"/>
        <v>492</v>
      </c>
      <c r="P29" t="str">
        <f t="shared" si="1"/>
        <v>00-Jan-00 -00:00:00- 00:00:00</v>
      </c>
      <c r="R29" t="str">
        <f t="shared" si="2"/>
        <v>00:00:00- 00:00:00-</v>
      </c>
    </row>
    <row r="30" spans="1:18" ht="24" customHeight="1">
      <c r="A30" s="23">
        <f t="shared" si="3"/>
        <v>29</v>
      </c>
      <c r="O30">
        <f t="shared" si="0"/>
        <v>492</v>
      </c>
      <c r="P30" t="str">
        <f t="shared" si="1"/>
        <v>00-Jan-00 -00:00:00- 00:00:00</v>
      </c>
      <c r="R30" t="str">
        <f t="shared" si="2"/>
        <v>00:00:00- 00:00:00-</v>
      </c>
    </row>
    <row r="31" spans="1:18" ht="24" customHeight="1">
      <c r="A31" s="23">
        <f t="shared" si="3"/>
        <v>30</v>
      </c>
      <c r="O31">
        <f t="shared" si="0"/>
        <v>492</v>
      </c>
      <c r="P31" t="str">
        <f t="shared" si="1"/>
        <v>00-Jan-00 -00:00:00- 00:00:00</v>
      </c>
      <c r="R31" t="str">
        <f t="shared" si="2"/>
        <v>00:00:00- 00:00:00-</v>
      </c>
    </row>
    <row r="32" spans="1:18" ht="24" customHeight="1">
      <c r="A32" s="23">
        <f t="shared" si="3"/>
        <v>31</v>
      </c>
      <c r="O32">
        <f t="shared" si="0"/>
        <v>492</v>
      </c>
      <c r="P32" t="str">
        <f t="shared" si="1"/>
        <v>00-Jan-00 -00:00:00- 00:00:00</v>
      </c>
      <c r="R32" t="str">
        <f t="shared" si="2"/>
        <v>00:00:00- 00:00:00-</v>
      </c>
    </row>
    <row r="33" spans="1:18" ht="24" customHeight="1">
      <c r="A33" s="23">
        <f t="shared" si="3"/>
        <v>32</v>
      </c>
      <c r="O33">
        <f t="shared" si="0"/>
        <v>492</v>
      </c>
      <c r="P33" t="str">
        <f t="shared" si="1"/>
        <v>00-Jan-00 -00:00:00- 00:00:00</v>
      </c>
      <c r="R33" t="str">
        <f t="shared" si="2"/>
        <v>00:00:00- 00:00:00-</v>
      </c>
    </row>
    <row r="34" spans="1:18" ht="24" customHeight="1">
      <c r="A34" s="23">
        <f t="shared" si="3"/>
        <v>33</v>
      </c>
      <c r="O34">
        <f t="shared" si="0"/>
        <v>492</v>
      </c>
      <c r="P34" t="str">
        <f t="shared" si="1"/>
        <v>00-Jan-00 -00:00:00- 00:00:00</v>
      </c>
      <c r="R34" t="str">
        <f t="shared" si="2"/>
        <v>00:00:00- 00:00:00-</v>
      </c>
    </row>
    <row r="35" spans="1:18" ht="24" customHeight="1">
      <c r="A35" s="23">
        <f t="shared" si="3"/>
        <v>34</v>
      </c>
      <c r="O35">
        <f t="shared" si="0"/>
        <v>492</v>
      </c>
      <c r="P35" t="str">
        <f t="shared" si="1"/>
        <v>00-Jan-00 -00:00:00- 00:00:00</v>
      </c>
      <c r="R35" t="str">
        <f t="shared" si="2"/>
        <v>00:00:00- 00:00:00-</v>
      </c>
    </row>
    <row r="36" spans="1:18" ht="24" customHeight="1">
      <c r="A36" s="23">
        <f t="shared" si="3"/>
        <v>35</v>
      </c>
      <c r="O36">
        <f t="shared" si="0"/>
        <v>492</v>
      </c>
      <c r="P36" t="str">
        <f t="shared" si="1"/>
        <v>00-Jan-00 -00:00:00- 00:00:00</v>
      </c>
      <c r="R36" t="str">
        <f t="shared" si="2"/>
        <v>00:00:00- 00:00:00-</v>
      </c>
    </row>
    <row r="37" spans="1:18" ht="24" customHeight="1">
      <c r="A37" s="23">
        <f t="shared" si="3"/>
        <v>36</v>
      </c>
      <c r="O37">
        <f t="shared" si="0"/>
        <v>492</v>
      </c>
      <c r="P37" t="str">
        <f t="shared" si="1"/>
        <v>00-Jan-00 -00:00:00- 00:00:00</v>
      </c>
      <c r="R37" t="str">
        <f t="shared" si="2"/>
        <v>00:00:00- 00:00:00-</v>
      </c>
    </row>
    <row r="38" spans="1:18" ht="24" customHeight="1">
      <c r="A38" s="23">
        <f t="shared" si="3"/>
        <v>37</v>
      </c>
      <c r="O38">
        <f t="shared" si="0"/>
        <v>492</v>
      </c>
      <c r="P38" t="str">
        <f t="shared" si="1"/>
        <v>00-Jan-00 -00:00:00- 00:00:00</v>
      </c>
      <c r="R38" t="str">
        <f t="shared" si="2"/>
        <v>00:00:00- 00:00:00-</v>
      </c>
    </row>
    <row r="39" spans="1:18" ht="24" customHeight="1">
      <c r="A39" s="23">
        <f t="shared" si="3"/>
        <v>38</v>
      </c>
      <c r="O39">
        <f t="shared" si="0"/>
        <v>492</v>
      </c>
      <c r="P39" t="str">
        <f t="shared" si="1"/>
        <v>00-Jan-00 -00:00:00- 00:00:00</v>
      </c>
      <c r="R39" t="str">
        <f t="shared" si="2"/>
        <v>00:00:00- 00:00:00-</v>
      </c>
    </row>
    <row r="40" spans="1:18" ht="24" customHeight="1">
      <c r="A40" s="23">
        <f t="shared" si="3"/>
        <v>39</v>
      </c>
      <c r="O40">
        <f t="shared" si="0"/>
        <v>492</v>
      </c>
      <c r="P40" t="str">
        <f t="shared" si="1"/>
        <v>00-Jan-00 -00:00:00- 00:00:00</v>
      </c>
      <c r="R40" t="str">
        <f t="shared" si="2"/>
        <v>00:00:00- 00:00:00-</v>
      </c>
    </row>
    <row r="41" spans="1:18" ht="24" customHeight="1">
      <c r="A41" s="23">
        <f t="shared" si="3"/>
        <v>40</v>
      </c>
      <c r="O41">
        <f t="shared" si="0"/>
        <v>492</v>
      </c>
      <c r="P41" t="str">
        <f t="shared" si="1"/>
        <v>00-Jan-00 -00:00:00- 00:00:00</v>
      </c>
      <c r="R41" t="str">
        <f t="shared" si="2"/>
        <v>00:00:00- 00:00:00-</v>
      </c>
    </row>
    <row r="42" spans="1:18" ht="24" customHeight="1">
      <c r="A42" s="23">
        <f t="shared" si="3"/>
        <v>41</v>
      </c>
      <c r="O42">
        <f t="shared" si="0"/>
        <v>492</v>
      </c>
      <c r="P42" t="str">
        <f t="shared" si="1"/>
        <v>00-Jan-00 -00:00:00- 00:00:00</v>
      </c>
      <c r="R42" t="str">
        <f t="shared" si="2"/>
        <v>00:00:00- 00:00:00-</v>
      </c>
    </row>
    <row r="43" spans="1:18" ht="24" customHeight="1">
      <c r="A43" s="23">
        <f t="shared" si="3"/>
        <v>42</v>
      </c>
      <c r="O43">
        <f t="shared" si="0"/>
        <v>492</v>
      </c>
      <c r="P43" t="str">
        <f t="shared" si="1"/>
        <v>00-Jan-00 -00:00:00- 00:00:00</v>
      </c>
      <c r="R43" t="str">
        <f t="shared" si="2"/>
        <v>00:00:00- 00:00:00-</v>
      </c>
    </row>
    <row r="44" spans="1:18" ht="24" customHeight="1">
      <c r="A44" s="23">
        <f t="shared" si="3"/>
        <v>43</v>
      </c>
      <c r="O44">
        <f t="shared" si="0"/>
        <v>492</v>
      </c>
      <c r="P44" t="str">
        <f t="shared" si="1"/>
        <v>00-Jan-00 -00:00:00- 00:00:00</v>
      </c>
      <c r="R44" t="str">
        <f t="shared" si="2"/>
        <v>00:00:00- 00:00:00-</v>
      </c>
    </row>
    <row r="45" spans="1:18" ht="24" customHeight="1">
      <c r="A45" s="23">
        <f t="shared" si="3"/>
        <v>44</v>
      </c>
      <c r="O45">
        <f t="shared" si="0"/>
        <v>492</v>
      </c>
      <c r="P45" t="str">
        <f t="shared" si="1"/>
        <v>00-Jan-00 -00:00:00- 00:00:00</v>
      </c>
      <c r="R45" t="str">
        <f t="shared" si="2"/>
        <v>00:00:00- 00:00:00-</v>
      </c>
    </row>
    <row r="46" spans="1:18" ht="24" customHeight="1">
      <c r="A46" s="23">
        <f t="shared" si="3"/>
        <v>45</v>
      </c>
      <c r="O46">
        <f t="shared" si="0"/>
        <v>492</v>
      </c>
      <c r="P46" t="str">
        <f t="shared" si="1"/>
        <v>00-Jan-00 -00:00:00- 00:00:00</v>
      </c>
      <c r="R46" t="str">
        <f t="shared" si="2"/>
        <v>00:00:00- 00:00:00-</v>
      </c>
    </row>
    <row r="47" spans="1:18" ht="24" customHeight="1">
      <c r="A47" s="23">
        <f t="shared" si="3"/>
        <v>46</v>
      </c>
      <c r="O47">
        <f t="shared" si="0"/>
        <v>492</v>
      </c>
      <c r="P47" t="str">
        <f t="shared" si="1"/>
        <v>00-Jan-00 -00:00:00- 00:00:00</v>
      </c>
      <c r="R47" t="str">
        <f t="shared" si="2"/>
        <v>00:00:00- 00:00:00-</v>
      </c>
    </row>
    <row r="48" spans="1:18" ht="24" customHeight="1">
      <c r="A48" s="23">
        <f t="shared" si="3"/>
        <v>47</v>
      </c>
      <c r="O48">
        <f t="shared" si="0"/>
        <v>492</v>
      </c>
      <c r="P48" t="str">
        <f t="shared" si="1"/>
        <v>00-Jan-00 -00:00:00- 00:00:00</v>
      </c>
      <c r="R48" t="str">
        <f t="shared" si="2"/>
        <v>00:00:00- 00:00:00-</v>
      </c>
    </row>
    <row r="49" spans="1:18" ht="24" customHeight="1">
      <c r="A49" s="23">
        <f t="shared" si="3"/>
        <v>48</v>
      </c>
      <c r="O49">
        <f t="shared" si="0"/>
        <v>492</v>
      </c>
      <c r="P49" t="str">
        <f t="shared" si="1"/>
        <v>00-Jan-00 -00:00:00- 00:00:00</v>
      </c>
      <c r="R49" t="str">
        <f t="shared" si="2"/>
        <v>00:00:00- 00:00:00-</v>
      </c>
    </row>
    <row r="50" spans="1:18" ht="24" customHeight="1">
      <c r="A50" s="23">
        <f t="shared" si="3"/>
        <v>49</v>
      </c>
      <c r="O50">
        <f t="shared" si="0"/>
        <v>492</v>
      </c>
      <c r="P50" t="str">
        <f t="shared" si="1"/>
        <v>00-Jan-00 -00:00:00- 00:00:00</v>
      </c>
      <c r="R50" t="str">
        <f t="shared" si="2"/>
        <v>00:00:00- 00:00:00-</v>
      </c>
    </row>
    <row r="51" spans="1:18" ht="24" customHeight="1">
      <c r="A51" s="23">
        <f t="shared" si="3"/>
        <v>50</v>
      </c>
      <c r="O51">
        <f t="shared" si="0"/>
        <v>492</v>
      </c>
      <c r="P51" t="str">
        <f t="shared" si="1"/>
        <v>00-Jan-00 -00:00:00- 00:00:00</v>
      </c>
      <c r="R51" t="str">
        <f t="shared" si="2"/>
        <v>00:00:00- 00:00:00-</v>
      </c>
    </row>
    <row r="52" spans="1:18" ht="24" customHeight="1">
      <c r="A52" s="23">
        <f t="shared" si="3"/>
        <v>51</v>
      </c>
      <c r="O52">
        <f t="shared" si="0"/>
        <v>492</v>
      </c>
      <c r="P52" t="str">
        <f t="shared" si="1"/>
        <v>00-Jan-00 -00:00:00- 00:00:00</v>
      </c>
      <c r="R52" t="str">
        <f t="shared" si="2"/>
        <v>00:00:00- 00:00:00-</v>
      </c>
    </row>
    <row r="53" spans="1:18" ht="24" customHeight="1">
      <c r="A53" s="23">
        <f t="shared" si="3"/>
        <v>52</v>
      </c>
      <c r="O53">
        <f t="shared" si="0"/>
        <v>492</v>
      </c>
      <c r="P53" t="str">
        <f t="shared" si="1"/>
        <v>00-Jan-00 -00:00:00- 00:00:00</v>
      </c>
      <c r="R53" t="str">
        <f t="shared" si="2"/>
        <v>00:00:00- 00:00:00-</v>
      </c>
    </row>
    <row r="54" spans="1:18" ht="24" customHeight="1">
      <c r="A54" s="23">
        <f t="shared" si="3"/>
        <v>53</v>
      </c>
      <c r="O54">
        <f t="shared" si="0"/>
        <v>492</v>
      </c>
      <c r="P54" t="str">
        <f t="shared" si="1"/>
        <v>00-Jan-00 -00:00:00- 00:00:00</v>
      </c>
      <c r="R54" t="str">
        <f t="shared" si="2"/>
        <v>00:00:00- 00:00:00-</v>
      </c>
    </row>
    <row r="55" spans="1:18" ht="24" customHeight="1">
      <c r="A55" s="23">
        <f t="shared" si="3"/>
        <v>54</v>
      </c>
      <c r="O55">
        <f t="shared" si="0"/>
        <v>492</v>
      </c>
      <c r="P55" t="str">
        <f t="shared" si="1"/>
        <v>00-Jan-00 -00:00:00- 00:00:00</v>
      </c>
      <c r="R55" t="str">
        <f t="shared" si="2"/>
        <v>00:00:00- 00:00:00-</v>
      </c>
    </row>
    <row r="56" spans="1:18" ht="24" customHeight="1">
      <c r="A56" s="23">
        <f t="shared" si="3"/>
        <v>55</v>
      </c>
      <c r="O56">
        <f t="shared" si="0"/>
        <v>492</v>
      </c>
      <c r="P56" t="str">
        <f t="shared" si="1"/>
        <v>00-Jan-00 -00:00:00- 00:00:00</v>
      </c>
      <c r="R56" t="str">
        <f t="shared" si="2"/>
        <v>00:00:00- 00:00:00-</v>
      </c>
    </row>
    <row r="57" spans="1:18" ht="24" customHeight="1">
      <c r="A57" s="23">
        <f t="shared" si="3"/>
        <v>56</v>
      </c>
      <c r="O57">
        <f t="shared" si="0"/>
        <v>492</v>
      </c>
      <c r="P57" t="str">
        <f t="shared" si="1"/>
        <v>00-Jan-00 -00:00:00- 00:00:00</v>
      </c>
      <c r="R57" t="str">
        <f t="shared" si="2"/>
        <v>00:00:00- 00:00:00-</v>
      </c>
    </row>
    <row r="58" spans="1:18" ht="24" customHeight="1">
      <c r="A58" s="23">
        <f t="shared" si="3"/>
        <v>57</v>
      </c>
      <c r="O58">
        <f t="shared" si="0"/>
        <v>492</v>
      </c>
      <c r="P58" t="str">
        <f t="shared" si="1"/>
        <v>00-Jan-00 -00:00:00- 00:00:00</v>
      </c>
      <c r="R58" t="str">
        <f t="shared" si="2"/>
        <v>00:00:00- 00:00:00-</v>
      </c>
    </row>
    <row r="59" spans="1:18" ht="24" customHeight="1">
      <c r="A59" s="23">
        <f t="shared" si="3"/>
        <v>58</v>
      </c>
      <c r="O59">
        <f t="shared" si="0"/>
        <v>492</v>
      </c>
      <c r="P59" t="str">
        <f t="shared" si="1"/>
        <v>00-Jan-00 -00:00:00- 00:00:00</v>
      </c>
      <c r="R59" t="str">
        <f t="shared" si="2"/>
        <v>00:00:00- 00:00:00-</v>
      </c>
    </row>
    <row r="60" spans="1:18" ht="24" customHeight="1">
      <c r="A60" s="23">
        <f t="shared" si="3"/>
        <v>59</v>
      </c>
      <c r="O60">
        <f t="shared" si="0"/>
        <v>492</v>
      </c>
      <c r="P60" t="str">
        <f t="shared" si="1"/>
        <v>00-Jan-00 -00:00:00- 00:00:00</v>
      </c>
      <c r="R60" t="str">
        <f t="shared" si="2"/>
        <v>00:00:00- 00:00:00-</v>
      </c>
    </row>
    <row r="61" spans="1:18" ht="24" customHeight="1">
      <c r="A61" s="23">
        <f t="shared" si="3"/>
        <v>60</v>
      </c>
      <c r="O61">
        <f t="shared" si="0"/>
        <v>492</v>
      </c>
      <c r="P61" t="str">
        <f t="shared" si="1"/>
        <v>00-Jan-00 -00:00:00- 00:00:00</v>
      </c>
      <c r="R61" t="str">
        <f t="shared" si="2"/>
        <v>00:00:00- 00:00:00-</v>
      </c>
    </row>
    <row r="62" spans="1:18" ht="24" customHeight="1">
      <c r="A62" s="23">
        <f t="shared" si="3"/>
        <v>61</v>
      </c>
      <c r="O62">
        <f t="shared" si="0"/>
        <v>492</v>
      </c>
      <c r="P62" t="str">
        <f t="shared" si="1"/>
        <v>00-Jan-00 -00:00:00- 00:00:00</v>
      </c>
      <c r="R62" t="str">
        <f t="shared" si="2"/>
        <v>00:00:00- 00:00:00-</v>
      </c>
    </row>
    <row r="63" spans="1:18" ht="24" customHeight="1">
      <c r="A63" s="23">
        <f t="shared" si="3"/>
        <v>62</v>
      </c>
      <c r="O63">
        <f t="shared" si="0"/>
        <v>492</v>
      </c>
      <c r="P63" t="str">
        <f t="shared" si="1"/>
        <v>00-Jan-00 -00:00:00- 00:00:00</v>
      </c>
      <c r="R63" t="str">
        <f t="shared" si="2"/>
        <v>00:00:00- 00:00:00-</v>
      </c>
    </row>
    <row r="64" spans="1:18" ht="24" customHeight="1">
      <c r="A64" s="23">
        <f t="shared" si="3"/>
        <v>63</v>
      </c>
      <c r="O64">
        <f t="shared" si="0"/>
        <v>492</v>
      </c>
      <c r="P64" t="str">
        <f t="shared" ref="P64:P127" si="4">_xlfn.CONCAT(TEXT(DATE(YEAR(B64),MONTH(B64),DAY(B64)),"DD-MMM-YY")," ",G64,,"-",TEXT(TIME(HOUR(H64),MINUTE(H64),SECOND(H64)),"HH:MM:SS"),"- ",TEXT(TIME(HOUR(I64),MINUTE(I64),HOUR(I64)),"Hh:MM:SS"))</f>
        <v>00-Jan-00 -00:00:00- 00:00:00</v>
      </c>
      <c r="R64" t="str">
        <f t="shared" ref="R64:R127" si="5">(_xlfn.CONCAT(TEXT(TIME(HOUR(H64),MINUTE(H64),SECOND(H64)),"HH:MM:SS"),"- ",TEXT(TIME(HOUR(I64),MINUTE(I64),HOUR(I64)),"Hh:MM:SS"),"-",G64))</f>
        <v>00:00:00- 00:00:00-</v>
      </c>
    </row>
    <row r="65" spans="1:18" ht="24" customHeight="1">
      <c r="A65" s="23">
        <f t="shared" si="3"/>
        <v>64</v>
      </c>
      <c r="O65">
        <f t="shared" si="0"/>
        <v>492</v>
      </c>
      <c r="P65" t="str">
        <f t="shared" si="4"/>
        <v>00-Jan-00 -00:00:00- 00:00:00</v>
      </c>
      <c r="R65" t="str">
        <f t="shared" si="5"/>
        <v>00:00:00- 00:00:00-</v>
      </c>
    </row>
    <row r="66" spans="1:18" ht="24" customHeight="1">
      <c r="A66" s="23">
        <f t="shared" si="3"/>
        <v>65</v>
      </c>
      <c r="O66">
        <f t="shared" ref="O66:O129" si="6">COUNTIF($P$2:$P$1048576,P66)</f>
        <v>492</v>
      </c>
      <c r="P66" t="str">
        <f t="shared" si="4"/>
        <v>00-Jan-00 -00:00:00- 00:00:00</v>
      </c>
      <c r="R66" t="str">
        <f t="shared" si="5"/>
        <v>00:00:00- 00:00:00-</v>
      </c>
    </row>
    <row r="67" spans="1:18" ht="24" customHeight="1">
      <c r="A67" s="23">
        <f t="shared" ref="A67:A130" si="7">A66+1</f>
        <v>66</v>
      </c>
      <c r="O67">
        <f t="shared" si="6"/>
        <v>492</v>
      </c>
      <c r="P67" t="str">
        <f t="shared" si="4"/>
        <v>00-Jan-00 -00:00:00- 00:00:00</v>
      </c>
      <c r="R67" t="str">
        <f t="shared" si="5"/>
        <v>00:00:00- 00:00:00-</v>
      </c>
    </row>
    <row r="68" spans="1:18" ht="24" customHeight="1">
      <c r="A68" s="23">
        <f t="shared" si="7"/>
        <v>67</v>
      </c>
      <c r="O68">
        <f t="shared" si="6"/>
        <v>492</v>
      </c>
      <c r="P68" t="str">
        <f t="shared" si="4"/>
        <v>00-Jan-00 -00:00:00- 00:00:00</v>
      </c>
      <c r="R68" t="str">
        <f t="shared" si="5"/>
        <v>00:00:00- 00:00:00-</v>
      </c>
    </row>
    <row r="69" spans="1:18" ht="24" customHeight="1">
      <c r="A69" s="23">
        <f t="shared" si="7"/>
        <v>68</v>
      </c>
      <c r="O69">
        <f t="shared" si="6"/>
        <v>492</v>
      </c>
      <c r="P69" t="str">
        <f t="shared" si="4"/>
        <v>00-Jan-00 -00:00:00- 00:00:00</v>
      </c>
      <c r="R69" t="str">
        <f t="shared" si="5"/>
        <v>00:00:00- 00:00:00-</v>
      </c>
    </row>
    <row r="70" spans="1:18" ht="24" customHeight="1">
      <c r="A70" s="23">
        <f t="shared" si="7"/>
        <v>69</v>
      </c>
      <c r="O70">
        <f t="shared" si="6"/>
        <v>492</v>
      </c>
      <c r="P70" t="str">
        <f t="shared" si="4"/>
        <v>00-Jan-00 -00:00:00- 00:00:00</v>
      </c>
      <c r="R70" t="str">
        <f t="shared" si="5"/>
        <v>00:00:00- 00:00:00-</v>
      </c>
    </row>
    <row r="71" spans="1:18" ht="24" customHeight="1">
      <c r="A71" s="23">
        <f t="shared" si="7"/>
        <v>70</v>
      </c>
      <c r="O71">
        <f t="shared" si="6"/>
        <v>492</v>
      </c>
      <c r="P71" t="str">
        <f t="shared" si="4"/>
        <v>00-Jan-00 -00:00:00- 00:00:00</v>
      </c>
      <c r="R71" t="str">
        <f t="shared" si="5"/>
        <v>00:00:00- 00:00:00-</v>
      </c>
    </row>
    <row r="72" spans="1:18" ht="24" customHeight="1">
      <c r="A72" s="23">
        <f t="shared" si="7"/>
        <v>71</v>
      </c>
      <c r="O72">
        <f t="shared" si="6"/>
        <v>492</v>
      </c>
      <c r="P72" t="str">
        <f t="shared" si="4"/>
        <v>00-Jan-00 -00:00:00- 00:00:00</v>
      </c>
      <c r="R72" t="str">
        <f t="shared" si="5"/>
        <v>00:00:00- 00:00:00-</v>
      </c>
    </row>
    <row r="73" spans="1:18" ht="24" customHeight="1">
      <c r="A73" s="23">
        <f t="shared" si="7"/>
        <v>72</v>
      </c>
      <c r="O73">
        <f t="shared" si="6"/>
        <v>492</v>
      </c>
      <c r="P73" t="str">
        <f t="shared" si="4"/>
        <v>00-Jan-00 -00:00:00- 00:00:00</v>
      </c>
      <c r="R73" t="str">
        <f t="shared" si="5"/>
        <v>00:00:00- 00:00:00-</v>
      </c>
    </row>
    <row r="74" spans="1:18" ht="24" customHeight="1">
      <c r="A74" s="23">
        <f t="shared" si="7"/>
        <v>73</v>
      </c>
      <c r="O74">
        <f t="shared" si="6"/>
        <v>492</v>
      </c>
      <c r="P74" t="str">
        <f t="shared" si="4"/>
        <v>00-Jan-00 -00:00:00- 00:00:00</v>
      </c>
      <c r="R74" t="str">
        <f t="shared" si="5"/>
        <v>00:00:00- 00:00:00-</v>
      </c>
    </row>
    <row r="75" spans="1:18" ht="24" customHeight="1">
      <c r="A75" s="23">
        <f t="shared" si="7"/>
        <v>74</v>
      </c>
      <c r="O75">
        <f t="shared" si="6"/>
        <v>492</v>
      </c>
      <c r="P75" t="str">
        <f t="shared" si="4"/>
        <v>00-Jan-00 -00:00:00- 00:00:00</v>
      </c>
      <c r="R75" t="str">
        <f t="shared" si="5"/>
        <v>00:00:00- 00:00:00-</v>
      </c>
    </row>
    <row r="76" spans="1:18" ht="24" customHeight="1">
      <c r="A76" s="23">
        <f t="shared" si="7"/>
        <v>75</v>
      </c>
      <c r="O76">
        <f t="shared" si="6"/>
        <v>492</v>
      </c>
      <c r="P76" t="str">
        <f t="shared" si="4"/>
        <v>00-Jan-00 -00:00:00- 00:00:00</v>
      </c>
      <c r="R76" t="str">
        <f t="shared" si="5"/>
        <v>00:00:00- 00:00:00-</v>
      </c>
    </row>
    <row r="77" spans="1:18" ht="24" customHeight="1">
      <c r="A77" s="23">
        <f t="shared" si="7"/>
        <v>76</v>
      </c>
      <c r="O77">
        <f t="shared" si="6"/>
        <v>492</v>
      </c>
      <c r="P77" t="str">
        <f t="shared" si="4"/>
        <v>00-Jan-00 -00:00:00- 00:00:00</v>
      </c>
      <c r="R77" t="str">
        <f t="shared" si="5"/>
        <v>00:00:00- 00:00:00-</v>
      </c>
    </row>
    <row r="78" spans="1:18" ht="24" customHeight="1">
      <c r="A78" s="23">
        <f t="shared" si="7"/>
        <v>77</v>
      </c>
      <c r="O78">
        <f t="shared" si="6"/>
        <v>492</v>
      </c>
      <c r="P78" t="str">
        <f t="shared" si="4"/>
        <v>00-Jan-00 -00:00:00- 00:00:00</v>
      </c>
      <c r="R78" t="str">
        <f t="shared" si="5"/>
        <v>00:00:00- 00:00:00-</v>
      </c>
    </row>
    <row r="79" spans="1:18" ht="24" customHeight="1">
      <c r="A79" s="23">
        <f t="shared" si="7"/>
        <v>78</v>
      </c>
      <c r="O79">
        <f t="shared" si="6"/>
        <v>492</v>
      </c>
      <c r="P79" t="str">
        <f t="shared" si="4"/>
        <v>00-Jan-00 -00:00:00- 00:00:00</v>
      </c>
      <c r="R79" t="str">
        <f t="shared" si="5"/>
        <v>00:00:00- 00:00:00-</v>
      </c>
    </row>
    <row r="80" spans="1:18" ht="24" customHeight="1">
      <c r="A80" s="23">
        <f t="shared" si="7"/>
        <v>79</v>
      </c>
      <c r="O80">
        <f t="shared" si="6"/>
        <v>492</v>
      </c>
      <c r="P80" t="str">
        <f t="shared" si="4"/>
        <v>00-Jan-00 -00:00:00- 00:00:00</v>
      </c>
      <c r="R80" t="str">
        <f t="shared" si="5"/>
        <v>00:00:00- 00:00:00-</v>
      </c>
    </row>
    <row r="81" spans="1:18" ht="24" customHeight="1">
      <c r="A81" s="23">
        <f t="shared" si="7"/>
        <v>80</v>
      </c>
      <c r="O81">
        <f t="shared" si="6"/>
        <v>492</v>
      </c>
      <c r="P81" t="str">
        <f t="shared" si="4"/>
        <v>00-Jan-00 -00:00:00- 00:00:00</v>
      </c>
      <c r="R81" t="str">
        <f t="shared" si="5"/>
        <v>00:00:00- 00:00:00-</v>
      </c>
    </row>
    <row r="82" spans="1:18" ht="24" customHeight="1">
      <c r="A82" s="23">
        <f t="shared" si="7"/>
        <v>81</v>
      </c>
      <c r="O82">
        <f t="shared" si="6"/>
        <v>492</v>
      </c>
      <c r="P82" t="str">
        <f t="shared" si="4"/>
        <v>00-Jan-00 -00:00:00- 00:00:00</v>
      </c>
      <c r="R82" t="str">
        <f t="shared" si="5"/>
        <v>00:00:00- 00:00:00-</v>
      </c>
    </row>
    <row r="83" spans="1:18" ht="24" customHeight="1">
      <c r="A83" s="23">
        <f t="shared" si="7"/>
        <v>82</v>
      </c>
      <c r="O83">
        <f t="shared" si="6"/>
        <v>492</v>
      </c>
      <c r="P83" t="str">
        <f t="shared" si="4"/>
        <v>00-Jan-00 -00:00:00- 00:00:00</v>
      </c>
      <c r="R83" t="str">
        <f t="shared" si="5"/>
        <v>00:00:00- 00:00:00-</v>
      </c>
    </row>
    <row r="84" spans="1:18" ht="24" customHeight="1">
      <c r="A84" s="23">
        <f t="shared" si="7"/>
        <v>83</v>
      </c>
      <c r="O84">
        <f t="shared" si="6"/>
        <v>492</v>
      </c>
      <c r="P84" t="str">
        <f t="shared" si="4"/>
        <v>00-Jan-00 -00:00:00- 00:00:00</v>
      </c>
      <c r="R84" t="str">
        <f t="shared" si="5"/>
        <v>00:00:00- 00:00:00-</v>
      </c>
    </row>
    <row r="85" spans="1:18" ht="24" customHeight="1">
      <c r="A85" s="23">
        <f t="shared" si="7"/>
        <v>84</v>
      </c>
      <c r="O85">
        <f t="shared" si="6"/>
        <v>492</v>
      </c>
      <c r="P85" t="str">
        <f t="shared" si="4"/>
        <v>00-Jan-00 -00:00:00- 00:00:00</v>
      </c>
      <c r="R85" t="str">
        <f t="shared" si="5"/>
        <v>00:00:00- 00:00:00-</v>
      </c>
    </row>
    <row r="86" spans="1:18" ht="24" customHeight="1">
      <c r="A86" s="23">
        <f t="shared" si="7"/>
        <v>85</v>
      </c>
      <c r="O86">
        <f t="shared" si="6"/>
        <v>492</v>
      </c>
      <c r="P86" t="str">
        <f t="shared" si="4"/>
        <v>00-Jan-00 -00:00:00- 00:00:00</v>
      </c>
      <c r="R86" t="str">
        <f t="shared" si="5"/>
        <v>00:00:00- 00:00:00-</v>
      </c>
    </row>
    <row r="87" spans="1:18" ht="24" customHeight="1">
      <c r="A87" s="23">
        <f t="shared" si="7"/>
        <v>86</v>
      </c>
      <c r="O87">
        <f t="shared" si="6"/>
        <v>492</v>
      </c>
      <c r="P87" t="str">
        <f t="shared" si="4"/>
        <v>00-Jan-00 -00:00:00- 00:00:00</v>
      </c>
      <c r="R87" t="str">
        <f t="shared" si="5"/>
        <v>00:00:00- 00:00:00-</v>
      </c>
    </row>
    <row r="88" spans="1:18" ht="24" customHeight="1">
      <c r="A88" s="23">
        <f t="shared" si="7"/>
        <v>87</v>
      </c>
      <c r="O88">
        <f t="shared" si="6"/>
        <v>492</v>
      </c>
      <c r="P88" t="str">
        <f t="shared" si="4"/>
        <v>00-Jan-00 -00:00:00- 00:00:00</v>
      </c>
      <c r="R88" t="str">
        <f t="shared" si="5"/>
        <v>00:00:00- 00:00:00-</v>
      </c>
    </row>
    <row r="89" spans="1:18" ht="24" customHeight="1">
      <c r="A89" s="23">
        <f t="shared" si="7"/>
        <v>88</v>
      </c>
      <c r="O89">
        <f t="shared" si="6"/>
        <v>492</v>
      </c>
      <c r="P89" t="str">
        <f t="shared" si="4"/>
        <v>00-Jan-00 -00:00:00- 00:00:00</v>
      </c>
      <c r="R89" t="str">
        <f t="shared" si="5"/>
        <v>00:00:00- 00:00:00-</v>
      </c>
    </row>
    <row r="90" spans="1:18" ht="24" customHeight="1">
      <c r="A90" s="23">
        <f t="shared" si="7"/>
        <v>89</v>
      </c>
      <c r="O90">
        <f t="shared" si="6"/>
        <v>492</v>
      </c>
      <c r="P90" t="str">
        <f t="shared" si="4"/>
        <v>00-Jan-00 -00:00:00- 00:00:00</v>
      </c>
      <c r="R90" t="str">
        <f t="shared" si="5"/>
        <v>00:00:00- 00:00:00-</v>
      </c>
    </row>
    <row r="91" spans="1:18" ht="24" customHeight="1">
      <c r="A91" s="23">
        <f t="shared" si="7"/>
        <v>90</v>
      </c>
      <c r="O91">
        <f t="shared" si="6"/>
        <v>492</v>
      </c>
      <c r="P91" t="str">
        <f t="shared" si="4"/>
        <v>00-Jan-00 -00:00:00- 00:00:00</v>
      </c>
      <c r="R91" t="str">
        <f t="shared" si="5"/>
        <v>00:00:00- 00:00:00-</v>
      </c>
    </row>
    <row r="92" spans="1:18" ht="24" customHeight="1">
      <c r="A92" s="23">
        <f t="shared" si="7"/>
        <v>91</v>
      </c>
      <c r="O92">
        <f t="shared" si="6"/>
        <v>492</v>
      </c>
      <c r="P92" t="str">
        <f t="shared" si="4"/>
        <v>00-Jan-00 -00:00:00- 00:00:00</v>
      </c>
      <c r="R92" t="str">
        <f t="shared" si="5"/>
        <v>00:00:00- 00:00:00-</v>
      </c>
    </row>
    <row r="93" spans="1:18" ht="24" customHeight="1">
      <c r="A93" s="23">
        <f t="shared" si="7"/>
        <v>92</v>
      </c>
      <c r="O93">
        <f t="shared" si="6"/>
        <v>492</v>
      </c>
      <c r="P93" t="str">
        <f t="shared" si="4"/>
        <v>00-Jan-00 -00:00:00- 00:00:00</v>
      </c>
      <c r="R93" t="str">
        <f t="shared" si="5"/>
        <v>00:00:00- 00:00:00-</v>
      </c>
    </row>
    <row r="94" spans="1:18" ht="24" customHeight="1">
      <c r="A94" s="23">
        <f t="shared" si="7"/>
        <v>93</v>
      </c>
      <c r="O94">
        <f t="shared" si="6"/>
        <v>492</v>
      </c>
      <c r="P94" t="str">
        <f t="shared" si="4"/>
        <v>00-Jan-00 -00:00:00- 00:00:00</v>
      </c>
      <c r="R94" t="str">
        <f t="shared" si="5"/>
        <v>00:00:00- 00:00:00-</v>
      </c>
    </row>
    <row r="95" spans="1:18" ht="24" customHeight="1">
      <c r="A95" s="23">
        <f t="shared" si="7"/>
        <v>94</v>
      </c>
      <c r="O95">
        <f t="shared" si="6"/>
        <v>492</v>
      </c>
      <c r="P95" t="str">
        <f t="shared" si="4"/>
        <v>00-Jan-00 -00:00:00- 00:00:00</v>
      </c>
      <c r="R95" t="str">
        <f t="shared" si="5"/>
        <v>00:00:00- 00:00:00-</v>
      </c>
    </row>
    <row r="96" spans="1:18" ht="24" customHeight="1">
      <c r="A96" s="23">
        <f t="shared" si="7"/>
        <v>95</v>
      </c>
      <c r="O96">
        <f t="shared" si="6"/>
        <v>492</v>
      </c>
      <c r="P96" t="str">
        <f t="shared" si="4"/>
        <v>00-Jan-00 -00:00:00- 00:00:00</v>
      </c>
      <c r="R96" t="str">
        <f t="shared" si="5"/>
        <v>00:00:00- 00:00:00-</v>
      </c>
    </row>
    <row r="97" spans="1:18" ht="24" customHeight="1">
      <c r="A97" s="23">
        <f t="shared" si="7"/>
        <v>96</v>
      </c>
      <c r="O97">
        <f t="shared" si="6"/>
        <v>492</v>
      </c>
      <c r="P97" t="str">
        <f t="shared" si="4"/>
        <v>00-Jan-00 -00:00:00- 00:00:00</v>
      </c>
      <c r="R97" t="str">
        <f t="shared" si="5"/>
        <v>00:00:00- 00:00:00-</v>
      </c>
    </row>
    <row r="98" spans="1:18" ht="24" customHeight="1">
      <c r="A98" s="23">
        <f t="shared" si="7"/>
        <v>97</v>
      </c>
      <c r="O98">
        <f t="shared" si="6"/>
        <v>492</v>
      </c>
      <c r="P98" t="str">
        <f t="shared" si="4"/>
        <v>00-Jan-00 -00:00:00- 00:00:00</v>
      </c>
      <c r="R98" t="str">
        <f t="shared" si="5"/>
        <v>00:00:00- 00:00:00-</v>
      </c>
    </row>
    <row r="99" spans="1:18" ht="24" customHeight="1">
      <c r="A99" s="23">
        <f t="shared" si="7"/>
        <v>98</v>
      </c>
      <c r="O99">
        <f t="shared" si="6"/>
        <v>492</v>
      </c>
      <c r="P99" t="str">
        <f t="shared" si="4"/>
        <v>00-Jan-00 -00:00:00- 00:00:00</v>
      </c>
      <c r="R99" t="str">
        <f t="shared" si="5"/>
        <v>00:00:00- 00:00:00-</v>
      </c>
    </row>
    <row r="100" spans="1:18" ht="24" customHeight="1">
      <c r="A100" s="23">
        <f t="shared" si="7"/>
        <v>99</v>
      </c>
      <c r="O100">
        <f t="shared" si="6"/>
        <v>492</v>
      </c>
      <c r="P100" t="str">
        <f t="shared" si="4"/>
        <v>00-Jan-00 -00:00:00- 00:00:00</v>
      </c>
      <c r="R100" t="str">
        <f t="shared" si="5"/>
        <v>00:00:00- 00:00:00-</v>
      </c>
    </row>
    <row r="101" spans="1:18" ht="24" customHeight="1">
      <c r="A101" s="23">
        <f t="shared" si="7"/>
        <v>100</v>
      </c>
      <c r="O101">
        <f t="shared" si="6"/>
        <v>492</v>
      </c>
      <c r="P101" t="str">
        <f t="shared" si="4"/>
        <v>00-Jan-00 -00:00:00- 00:00:00</v>
      </c>
      <c r="R101" t="str">
        <f t="shared" si="5"/>
        <v>00:00:00- 00:00:00-</v>
      </c>
    </row>
    <row r="102" spans="1:18" ht="24" customHeight="1">
      <c r="A102" s="23">
        <f t="shared" si="7"/>
        <v>101</v>
      </c>
      <c r="O102">
        <f t="shared" si="6"/>
        <v>492</v>
      </c>
      <c r="P102" t="str">
        <f t="shared" si="4"/>
        <v>00-Jan-00 -00:00:00- 00:00:00</v>
      </c>
      <c r="R102" t="str">
        <f t="shared" si="5"/>
        <v>00:00:00- 00:00:00-</v>
      </c>
    </row>
    <row r="103" spans="1:18" ht="24" customHeight="1">
      <c r="A103" s="23">
        <f t="shared" si="7"/>
        <v>102</v>
      </c>
      <c r="O103">
        <f t="shared" si="6"/>
        <v>492</v>
      </c>
      <c r="P103" t="str">
        <f t="shared" si="4"/>
        <v>00-Jan-00 -00:00:00- 00:00:00</v>
      </c>
      <c r="R103" t="str">
        <f t="shared" si="5"/>
        <v>00:00:00- 00:00:00-</v>
      </c>
    </row>
    <row r="104" spans="1:18" ht="24" customHeight="1">
      <c r="A104" s="23">
        <f t="shared" si="7"/>
        <v>103</v>
      </c>
      <c r="O104">
        <f t="shared" si="6"/>
        <v>492</v>
      </c>
      <c r="P104" t="str">
        <f t="shared" si="4"/>
        <v>00-Jan-00 -00:00:00- 00:00:00</v>
      </c>
      <c r="R104" t="str">
        <f t="shared" si="5"/>
        <v>00:00:00- 00:00:00-</v>
      </c>
    </row>
    <row r="105" spans="1:18" ht="24" customHeight="1">
      <c r="A105" s="23">
        <f t="shared" si="7"/>
        <v>104</v>
      </c>
      <c r="O105">
        <f t="shared" si="6"/>
        <v>492</v>
      </c>
      <c r="P105" t="str">
        <f t="shared" si="4"/>
        <v>00-Jan-00 -00:00:00- 00:00:00</v>
      </c>
      <c r="R105" t="str">
        <f t="shared" si="5"/>
        <v>00:00:00- 00:00:00-</v>
      </c>
    </row>
    <row r="106" spans="1:18" ht="24" customHeight="1">
      <c r="A106" s="23">
        <f t="shared" si="7"/>
        <v>105</v>
      </c>
      <c r="O106">
        <f t="shared" si="6"/>
        <v>492</v>
      </c>
      <c r="P106" t="str">
        <f t="shared" si="4"/>
        <v>00-Jan-00 -00:00:00- 00:00:00</v>
      </c>
      <c r="R106" t="str">
        <f t="shared" si="5"/>
        <v>00:00:00- 00:00:00-</v>
      </c>
    </row>
    <row r="107" spans="1:18" ht="24" customHeight="1">
      <c r="A107" s="23">
        <f t="shared" si="7"/>
        <v>106</v>
      </c>
      <c r="O107">
        <f t="shared" si="6"/>
        <v>492</v>
      </c>
      <c r="P107" t="str">
        <f t="shared" si="4"/>
        <v>00-Jan-00 -00:00:00- 00:00:00</v>
      </c>
      <c r="R107" t="str">
        <f t="shared" si="5"/>
        <v>00:00:00- 00:00:00-</v>
      </c>
    </row>
    <row r="108" spans="1:18" ht="24" customHeight="1">
      <c r="A108" s="23">
        <f t="shared" si="7"/>
        <v>107</v>
      </c>
      <c r="O108">
        <f t="shared" si="6"/>
        <v>492</v>
      </c>
      <c r="P108" t="str">
        <f t="shared" si="4"/>
        <v>00-Jan-00 -00:00:00- 00:00:00</v>
      </c>
      <c r="R108" t="str">
        <f t="shared" si="5"/>
        <v>00:00:00- 00:00:00-</v>
      </c>
    </row>
    <row r="109" spans="1:18" ht="24" customHeight="1">
      <c r="A109" s="23">
        <f t="shared" si="7"/>
        <v>108</v>
      </c>
      <c r="O109">
        <f t="shared" si="6"/>
        <v>492</v>
      </c>
      <c r="P109" t="str">
        <f t="shared" si="4"/>
        <v>00-Jan-00 -00:00:00- 00:00:00</v>
      </c>
      <c r="R109" t="str">
        <f t="shared" si="5"/>
        <v>00:00:00- 00:00:00-</v>
      </c>
    </row>
    <row r="110" spans="1:18" ht="24" customHeight="1">
      <c r="A110" s="23">
        <f t="shared" si="7"/>
        <v>109</v>
      </c>
      <c r="O110">
        <f t="shared" si="6"/>
        <v>492</v>
      </c>
      <c r="P110" t="str">
        <f t="shared" si="4"/>
        <v>00-Jan-00 -00:00:00- 00:00:00</v>
      </c>
      <c r="R110" t="str">
        <f t="shared" si="5"/>
        <v>00:00:00- 00:00:00-</v>
      </c>
    </row>
    <row r="111" spans="1:18" ht="24" customHeight="1">
      <c r="A111" s="23">
        <f t="shared" si="7"/>
        <v>110</v>
      </c>
      <c r="O111">
        <f t="shared" si="6"/>
        <v>492</v>
      </c>
      <c r="P111" t="str">
        <f t="shared" si="4"/>
        <v>00-Jan-00 -00:00:00- 00:00:00</v>
      </c>
      <c r="R111" t="str">
        <f t="shared" si="5"/>
        <v>00:00:00- 00:00:00-</v>
      </c>
    </row>
    <row r="112" spans="1:18" ht="24" customHeight="1">
      <c r="A112" s="23">
        <f t="shared" si="7"/>
        <v>111</v>
      </c>
      <c r="O112">
        <f t="shared" si="6"/>
        <v>492</v>
      </c>
      <c r="P112" t="str">
        <f t="shared" si="4"/>
        <v>00-Jan-00 -00:00:00- 00:00:00</v>
      </c>
      <c r="R112" t="str">
        <f t="shared" si="5"/>
        <v>00:00:00- 00:00:00-</v>
      </c>
    </row>
    <row r="113" spans="1:18" ht="24" customHeight="1">
      <c r="A113" s="23">
        <f t="shared" si="7"/>
        <v>112</v>
      </c>
      <c r="O113">
        <f t="shared" si="6"/>
        <v>492</v>
      </c>
      <c r="P113" t="str">
        <f t="shared" si="4"/>
        <v>00-Jan-00 -00:00:00- 00:00:00</v>
      </c>
      <c r="R113" t="str">
        <f t="shared" si="5"/>
        <v>00:00:00- 00:00:00-</v>
      </c>
    </row>
    <row r="114" spans="1:18" ht="24" customHeight="1">
      <c r="A114" s="23">
        <f t="shared" si="7"/>
        <v>113</v>
      </c>
      <c r="O114">
        <f t="shared" si="6"/>
        <v>492</v>
      </c>
      <c r="P114" t="str">
        <f t="shared" si="4"/>
        <v>00-Jan-00 -00:00:00- 00:00:00</v>
      </c>
      <c r="R114" t="str">
        <f t="shared" si="5"/>
        <v>00:00:00- 00:00:00-</v>
      </c>
    </row>
    <row r="115" spans="1:18" ht="24" customHeight="1">
      <c r="A115" s="23">
        <f t="shared" si="7"/>
        <v>114</v>
      </c>
      <c r="O115">
        <f t="shared" si="6"/>
        <v>492</v>
      </c>
      <c r="P115" t="str">
        <f t="shared" si="4"/>
        <v>00-Jan-00 -00:00:00- 00:00:00</v>
      </c>
      <c r="R115" t="str">
        <f t="shared" si="5"/>
        <v>00:00:00- 00:00:00-</v>
      </c>
    </row>
    <row r="116" spans="1:18" ht="24" customHeight="1">
      <c r="A116" s="23">
        <f t="shared" si="7"/>
        <v>115</v>
      </c>
      <c r="O116">
        <f t="shared" si="6"/>
        <v>492</v>
      </c>
      <c r="P116" t="str">
        <f t="shared" si="4"/>
        <v>00-Jan-00 -00:00:00- 00:00:00</v>
      </c>
      <c r="R116" t="str">
        <f t="shared" si="5"/>
        <v>00:00:00- 00:00:00-</v>
      </c>
    </row>
    <row r="117" spans="1:18" ht="24" customHeight="1">
      <c r="A117" s="23">
        <f t="shared" si="7"/>
        <v>116</v>
      </c>
      <c r="O117">
        <f t="shared" si="6"/>
        <v>492</v>
      </c>
      <c r="P117" t="str">
        <f t="shared" si="4"/>
        <v>00-Jan-00 -00:00:00- 00:00:00</v>
      </c>
      <c r="R117" t="str">
        <f t="shared" si="5"/>
        <v>00:00:00- 00:00:00-</v>
      </c>
    </row>
    <row r="118" spans="1:18" ht="24" customHeight="1">
      <c r="A118" s="23">
        <f t="shared" si="7"/>
        <v>117</v>
      </c>
      <c r="O118">
        <f t="shared" si="6"/>
        <v>492</v>
      </c>
      <c r="P118" t="str">
        <f t="shared" si="4"/>
        <v>00-Jan-00 -00:00:00- 00:00:00</v>
      </c>
      <c r="R118" t="str">
        <f t="shared" si="5"/>
        <v>00:00:00- 00:00:00-</v>
      </c>
    </row>
    <row r="119" spans="1:18" ht="24" customHeight="1">
      <c r="A119" s="23">
        <f t="shared" si="7"/>
        <v>118</v>
      </c>
      <c r="O119">
        <f t="shared" si="6"/>
        <v>492</v>
      </c>
      <c r="P119" t="str">
        <f t="shared" si="4"/>
        <v>00-Jan-00 -00:00:00- 00:00:00</v>
      </c>
      <c r="R119" t="str">
        <f t="shared" si="5"/>
        <v>00:00:00- 00:00:00-</v>
      </c>
    </row>
    <row r="120" spans="1:18" ht="24" customHeight="1">
      <c r="A120" s="23">
        <f t="shared" si="7"/>
        <v>119</v>
      </c>
      <c r="O120">
        <f t="shared" si="6"/>
        <v>492</v>
      </c>
      <c r="P120" t="str">
        <f t="shared" si="4"/>
        <v>00-Jan-00 -00:00:00- 00:00:00</v>
      </c>
      <c r="R120" t="str">
        <f t="shared" si="5"/>
        <v>00:00:00- 00:00:00-</v>
      </c>
    </row>
    <row r="121" spans="1:18" ht="24" customHeight="1">
      <c r="A121" s="23">
        <f t="shared" si="7"/>
        <v>120</v>
      </c>
      <c r="O121">
        <f t="shared" si="6"/>
        <v>492</v>
      </c>
      <c r="P121" t="str">
        <f t="shared" si="4"/>
        <v>00-Jan-00 -00:00:00- 00:00:00</v>
      </c>
      <c r="R121" t="str">
        <f t="shared" si="5"/>
        <v>00:00:00- 00:00:00-</v>
      </c>
    </row>
    <row r="122" spans="1:18" ht="24" customHeight="1">
      <c r="A122" s="23">
        <f t="shared" si="7"/>
        <v>121</v>
      </c>
      <c r="O122">
        <f t="shared" si="6"/>
        <v>492</v>
      </c>
      <c r="P122" t="str">
        <f t="shared" si="4"/>
        <v>00-Jan-00 -00:00:00- 00:00:00</v>
      </c>
      <c r="R122" t="str">
        <f t="shared" si="5"/>
        <v>00:00:00- 00:00:00-</v>
      </c>
    </row>
    <row r="123" spans="1:18" ht="24" customHeight="1">
      <c r="A123" s="23">
        <f t="shared" si="7"/>
        <v>122</v>
      </c>
      <c r="O123">
        <f t="shared" si="6"/>
        <v>492</v>
      </c>
      <c r="P123" t="str">
        <f t="shared" si="4"/>
        <v>00-Jan-00 -00:00:00- 00:00:00</v>
      </c>
      <c r="R123" t="str">
        <f t="shared" si="5"/>
        <v>00:00:00- 00:00:00-</v>
      </c>
    </row>
    <row r="124" spans="1:18" ht="24" customHeight="1">
      <c r="A124" s="23">
        <f t="shared" si="7"/>
        <v>123</v>
      </c>
      <c r="O124">
        <f t="shared" si="6"/>
        <v>492</v>
      </c>
      <c r="P124" t="str">
        <f t="shared" si="4"/>
        <v>00-Jan-00 -00:00:00- 00:00:00</v>
      </c>
      <c r="R124" t="str">
        <f t="shared" si="5"/>
        <v>00:00:00- 00:00:00-</v>
      </c>
    </row>
    <row r="125" spans="1:18" ht="24" customHeight="1">
      <c r="A125" s="23">
        <f t="shared" si="7"/>
        <v>124</v>
      </c>
      <c r="O125">
        <f t="shared" si="6"/>
        <v>492</v>
      </c>
      <c r="P125" t="str">
        <f t="shared" si="4"/>
        <v>00-Jan-00 -00:00:00- 00:00:00</v>
      </c>
      <c r="R125" t="str">
        <f t="shared" si="5"/>
        <v>00:00:00- 00:00:00-</v>
      </c>
    </row>
    <row r="126" spans="1:18" ht="24" customHeight="1">
      <c r="A126" s="23">
        <f t="shared" si="7"/>
        <v>125</v>
      </c>
      <c r="O126">
        <f t="shared" si="6"/>
        <v>492</v>
      </c>
      <c r="P126" t="str">
        <f t="shared" si="4"/>
        <v>00-Jan-00 -00:00:00- 00:00:00</v>
      </c>
      <c r="R126" t="str">
        <f t="shared" si="5"/>
        <v>00:00:00- 00:00:00-</v>
      </c>
    </row>
    <row r="127" spans="1:18" ht="24" customHeight="1">
      <c r="A127" s="23">
        <f t="shared" si="7"/>
        <v>126</v>
      </c>
      <c r="O127">
        <f t="shared" si="6"/>
        <v>492</v>
      </c>
      <c r="P127" t="str">
        <f t="shared" si="4"/>
        <v>00-Jan-00 -00:00:00- 00:00:00</v>
      </c>
      <c r="R127" t="str">
        <f t="shared" si="5"/>
        <v>00:00:00- 00:00:00-</v>
      </c>
    </row>
    <row r="128" spans="1:18" ht="24" customHeight="1">
      <c r="A128" s="23">
        <f t="shared" si="7"/>
        <v>127</v>
      </c>
      <c r="O128">
        <f t="shared" si="6"/>
        <v>492</v>
      </c>
      <c r="P128" t="str">
        <f t="shared" ref="P128:P191" si="8">_xlfn.CONCAT(TEXT(DATE(YEAR(B128),MONTH(B128),DAY(B128)),"DD-MMM-YY")," ",G128,,"-",TEXT(TIME(HOUR(H128),MINUTE(H128),SECOND(H128)),"HH:MM:SS"),"- ",TEXT(TIME(HOUR(I128),MINUTE(I128),HOUR(I128)),"Hh:MM:SS"))</f>
        <v>00-Jan-00 -00:00:00- 00:00:00</v>
      </c>
      <c r="R128" t="str">
        <f t="shared" ref="R128:R191" si="9">(_xlfn.CONCAT(TEXT(TIME(HOUR(H128),MINUTE(H128),SECOND(H128)),"HH:MM:SS"),"- ",TEXT(TIME(HOUR(I128),MINUTE(I128),HOUR(I128)),"Hh:MM:SS"),"-",G128))</f>
        <v>00:00:00- 00:00:00-</v>
      </c>
    </row>
    <row r="129" spans="1:18" ht="24" customHeight="1">
      <c r="A129" s="23">
        <f t="shared" si="7"/>
        <v>128</v>
      </c>
      <c r="O129">
        <f t="shared" si="6"/>
        <v>492</v>
      </c>
      <c r="P129" t="str">
        <f t="shared" si="8"/>
        <v>00-Jan-00 -00:00:00- 00:00:00</v>
      </c>
      <c r="R129" t="str">
        <f t="shared" si="9"/>
        <v>00:00:00- 00:00:00-</v>
      </c>
    </row>
    <row r="130" spans="1:18" ht="24" customHeight="1">
      <c r="A130" s="23">
        <f t="shared" si="7"/>
        <v>129</v>
      </c>
      <c r="O130">
        <f t="shared" ref="O130:O193" si="10">COUNTIF($P$2:$P$1048576,P130)</f>
        <v>492</v>
      </c>
      <c r="P130" t="str">
        <f t="shared" si="8"/>
        <v>00-Jan-00 -00:00:00- 00:00:00</v>
      </c>
      <c r="R130" t="str">
        <f t="shared" si="9"/>
        <v>00:00:00- 00:00:00-</v>
      </c>
    </row>
    <row r="131" spans="1:18" ht="24" customHeight="1">
      <c r="A131" s="23">
        <f t="shared" ref="A131:A194" si="11">A130+1</f>
        <v>130</v>
      </c>
      <c r="O131">
        <f t="shared" si="10"/>
        <v>492</v>
      </c>
      <c r="P131" t="str">
        <f t="shared" si="8"/>
        <v>00-Jan-00 -00:00:00- 00:00:00</v>
      </c>
      <c r="R131" t="str">
        <f t="shared" si="9"/>
        <v>00:00:00- 00:00:00-</v>
      </c>
    </row>
    <row r="132" spans="1:18" ht="24" customHeight="1">
      <c r="A132" s="23">
        <f t="shared" si="11"/>
        <v>131</v>
      </c>
      <c r="O132">
        <f t="shared" si="10"/>
        <v>492</v>
      </c>
      <c r="P132" t="str">
        <f t="shared" si="8"/>
        <v>00-Jan-00 -00:00:00- 00:00:00</v>
      </c>
      <c r="R132" t="str">
        <f t="shared" si="9"/>
        <v>00:00:00- 00:00:00-</v>
      </c>
    </row>
    <row r="133" spans="1:18" ht="24" customHeight="1">
      <c r="A133" s="23">
        <f t="shared" si="11"/>
        <v>132</v>
      </c>
      <c r="O133">
        <f t="shared" si="10"/>
        <v>492</v>
      </c>
      <c r="P133" t="str">
        <f t="shared" si="8"/>
        <v>00-Jan-00 -00:00:00- 00:00:00</v>
      </c>
      <c r="R133" t="str">
        <f t="shared" si="9"/>
        <v>00:00:00- 00:00:00-</v>
      </c>
    </row>
    <row r="134" spans="1:18" ht="24" customHeight="1">
      <c r="A134" s="23">
        <f t="shared" si="11"/>
        <v>133</v>
      </c>
      <c r="O134">
        <f t="shared" si="10"/>
        <v>492</v>
      </c>
      <c r="P134" t="str">
        <f t="shared" si="8"/>
        <v>00-Jan-00 -00:00:00- 00:00:00</v>
      </c>
      <c r="R134" t="str">
        <f t="shared" si="9"/>
        <v>00:00:00- 00:00:00-</v>
      </c>
    </row>
    <row r="135" spans="1:18" ht="24" customHeight="1">
      <c r="A135" s="23">
        <f t="shared" si="11"/>
        <v>134</v>
      </c>
      <c r="O135">
        <f t="shared" si="10"/>
        <v>492</v>
      </c>
      <c r="P135" t="str">
        <f t="shared" si="8"/>
        <v>00-Jan-00 -00:00:00- 00:00:00</v>
      </c>
      <c r="R135" t="str">
        <f t="shared" si="9"/>
        <v>00:00:00- 00:00:00-</v>
      </c>
    </row>
    <row r="136" spans="1:18" ht="24" customHeight="1">
      <c r="A136" s="23">
        <f t="shared" si="11"/>
        <v>135</v>
      </c>
      <c r="O136">
        <f t="shared" si="10"/>
        <v>492</v>
      </c>
      <c r="P136" t="str">
        <f t="shared" si="8"/>
        <v>00-Jan-00 -00:00:00- 00:00:00</v>
      </c>
      <c r="R136" t="str">
        <f t="shared" si="9"/>
        <v>00:00:00- 00:00:00-</v>
      </c>
    </row>
    <row r="137" spans="1:18" ht="24" customHeight="1">
      <c r="A137" s="23">
        <f t="shared" si="11"/>
        <v>136</v>
      </c>
      <c r="O137">
        <f t="shared" si="10"/>
        <v>492</v>
      </c>
      <c r="P137" t="str">
        <f t="shared" si="8"/>
        <v>00-Jan-00 -00:00:00- 00:00:00</v>
      </c>
      <c r="R137" t="str">
        <f t="shared" si="9"/>
        <v>00:00:00- 00:00:00-</v>
      </c>
    </row>
    <row r="138" spans="1:18" ht="24" customHeight="1">
      <c r="A138" s="23">
        <f t="shared" si="11"/>
        <v>137</v>
      </c>
      <c r="O138">
        <f t="shared" si="10"/>
        <v>492</v>
      </c>
      <c r="P138" t="str">
        <f t="shared" si="8"/>
        <v>00-Jan-00 -00:00:00- 00:00:00</v>
      </c>
      <c r="R138" t="str">
        <f t="shared" si="9"/>
        <v>00:00:00- 00:00:00-</v>
      </c>
    </row>
    <row r="139" spans="1:18" ht="24" customHeight="1">
      <c r="A139" s="23">
        <f t="shared" si="11"/>
        <v>138</v>
      </c>
      <c r="O139">
        <f t="shared" si="10"/>
        <v>492</v>
      </c>
      <c r="P139" t="str">
        <f t="shared" si="8"/>
        <v>00-Jan-00 -00:00:00- 00:00:00</v>
      </c>
      <c r="R139" t="str">
        <f t="shared" si="9"/>
        <v>00:00:00- 00:00:00-</v>
      </c>
    </row>
    <row r="140" spans="1:18" ht="24" customHeight="1">
      <c r="A140" s="23">
        <f t="shared" si="11"/>
        <v>139</v>
      </c>
      <c r="O140">
        <f t="shared" si="10"/>
        <v>492</v>
      </c>
      <c r="P140" t="str">
        <f t="shared" si="8"/>
        <v>00-Jan-00 -00:00:00- 00:00:00</v>
      </c>
      <c r="R140" t="str">
        <f t="shared" si="9"/>
        <v>00:00:00- 00:00:00-</v>
      </c>
    </row>
    <row r="141" spans="1:18" ht="24" customHeight="1">
      <c r="A141" s="23">
        <f t="shared" si="11"/>
        <v>140</v>
      </c>
      <c r="O141">
        <f t="shared" si="10"/>
        <v>492</v>
      </c>
      <c r="P141" t="str">
        <f t="shared" si="8"/>
        <v>00-Jan-00 -00:00:00- 00:00:00</v>
      </c>
      <c r="R141" t="str">
        <f t="shared" si="9"/>
        <v>00:00:00- 00:00:00-</v>
      </c>
    </row>
    <row r="142" spans="1:18" ht="24" customHeight="1">
      <c r="A142" s="23">
        <f t="shared" si="11"/>
        <v>141</v>
      </c>
      <c r="O142">
        <f t="shared" si="10"/>
        <v>492</v>
      </c>
      <c r="P142" t="str">
        <f t="shared" si="8"/>
        <v>00-Jan-00 -00:00:00- 00:00:00</v>
      </c>
      <c r="R142" t="str">
        <f t="shared" si="9"/>
        <v>00:00:00- 00:00:00-</v>
      </c>
    </row>
    <row r="143" spans="1:18" ht="24" customHeight="1">
      <c r="A143" s="23">
        <f t="shared" si="11"/>
        <v>142</v>
      </c>
      <c r="O143">
        <f t="shared" si="10"/>
        <v>492</v>
      </c>
      <c r="P143" t="str">
        <f t="shared" si="8"/>
        <v>00-Jan-00 -00:00:00- 00:00:00</v>
      </c>
      <c r="R143" t="str">
        <f t="shared" si="9"/>
        <v>00:00:00- 00:00:00-</v>
      </c>
    </row>
    <row r="144" spans="1:18" ht="24" customHeight="1">
      <c r="A144" s="23">
        <f t="shared" si="11"/>
        <v>143</v>
      </c>
      <c r="O144">
        <f t="shared" si="10"/>
        <v>492</v>
      </c>
      <c r="P144" t="str">
        <f t="shared" si="8"/>
        <v>00-Jan-00 -00:00:00- 00:00:00</v>
      </c>
      <c r="R144" t="str">
        <f t="shared" si="9"/>
        <v>00:00:00- 00:00:00-</v>
      </c>
    </row>
    <row r="145" spans="1:18" ht="24" customHeight="1">
      <c r="A145" s="23">
        <f t="shared" si="11"/>
        <v>144</v>
      </c>
      <c r="O145">
        <f t="shared" si="10"/>
        <v>492</v>
      </c>
      <c r="P145" t="str">
        <f t="shared" si="8"/>
        <v>00-Jan-00 -00:00:00- 00:00:00</v>
      </c>
      <c r="R145" t="str">
        <f t="shared" si="9"/>
        <v>00:00:00- 00:00:00-</v>
      </c>
    </row>
    <row r="146" spans="1:18" ht="24" customHeight="1">
      <c r="A146" s="23">
        <f t="shared" si="11"/>
        <v>145</v>
      </c>
      <c r="O146">
        <f t="shared" si="10"/>
        <v>492</v>
      </c>
      <c r="P146" t="str">
        <f t="shared" si="8"/>
        <v>00-Jan-00 -00:00:00- 00:00:00</v>
      </c>
      <c r="R146" t="str">
        <f t="shared" si="9"/>
        <v>00:00:00- 00:00:00-</v>
      </c>
    </row>
    <row r="147" spans="1:18" ht="24" customHeight="1">
      <c r="A147" s="23">
        <f t="shared" si="11"/>
        <v>146</v>
      </c>
      <c r="O147">
        <f t="shared" si="10"/>
        <v>492</v>
      </c>
      <c r="P147" t="str">
        <f t="shared" si="8"/>
        <v>00-Jan-00 -00:00:00- 00:00:00</v>
      </c>
      <c r="R147" t="str">
        <f t="shared" si="9"/>
        <v>00:00:00- 00:00:00-</v>
      </c>
    </row>
    <row r="148" spans="1:18" ht="24" customHeight="1">
      <c r="A148" s="23">
        <f t="shared" si="11"/>
        <v>147</v>
      </c>
      <c r="O148">
        <f t="shared" si="10"/>
        <v>492</v>
      </c>
      <c r="P148" t="str">
        <f t="shared" si="8"/>
        <v>00-Jan-00 -00:00:00- 00:00:00</v>
      </c>
      <c r="R148" t="str">
        <f t="shared" si="9"/>
        <v>00:00:00- 00:00:00-</v>
      </c>
    </row>
    <row r="149" spans="1:18" ht="24" customHeight="1">
      <c r="A149" s="23">
        <f t="shared" si="11"/>
        <v>148</v>
      </c>
      <c r="O149">
        <f t="shared" si="10"/>
        <v>492</v>
      </c>
      <c r="P149" t="str">
        <f t="shared" si="8"/>
        <v>00-Jan-00 -00:00:00- 00:00:00</v>
      </c>
      <c r="R149" t="str">
        <f t="shared" si="9"/>
        <v>00:00:00- 00:00:00-</v>
      </c>
    </row>
    <row r="150" spans="1:18" ht="24" customHeight="1">
      <c r="A150" s="23">
        <f t="shared" si="11"/>
        <v>149</v>
      </c>
      <c r="O150">
        <f t="shared" si="10"/>
        <v>492</v>
      </c>
      <c r="P150" t="str">
        <f t="shared" si="8"/>
        <v>00-Jan-00 -00:00:00- 00:00:00</v>
      </c>
      <c r="R150" t="str">
        <f t="shared" si="9"/>
        <v>00:00:00- 00:00:00-</v>
      </c>
    </row>
    <row r="151" spans="1:18" ht="24" customHeight="1">
      <c r="A151" s="23">
        <f t="shared" si="11"/>
        <v>150</v>
      </c>
      <c r="O151">
        <f t="shared" si="10"/>
        <v>492</v>
      </c>
      <c r="P151" t="str">
        <f t="shared" si="8"/>
        <v>00-Jan-00 -00:00:00- 00:00:00</v>
      </c>
      <c r="R151" t="str">
        <f t="shared" si="9"/>
        <v>00:00:00- 00:00:00-</v>
      </c>
    </row>
    <row r="152" spans="1:18" ht="24" customHeight="1">
      <c r="A152" s="23">
        <f t="shared" si="11"/>
        <v>151</v>
      </c>
      <c r="O152">
        <f t="shared" si="10"/>
        <v>492</v>
      </c>
      <c r="P152" t="str">
        <f t="shared" si="8"/>
        <v>00-Jan-00 -00:00:00- 00:00:00</v>
      </c>
      <c r="R152" t="str">
        <f t="shared" si="9"/>
        <v>00:00:00- 00:00:00-</v>
      </c>
    </row>
    <row r="153" spans="1:18" ht="24" customHeight="1">
      <c r="A153" s="23">
        <f t="shared" si="11"/>
        <v>152</v>
      </c>
      <c r="O153">
        <f t="shared" si="10"/>
        <v>492</v>
      </c>
      <c r="P153" t="str">
        <f t="shared" si="8"/>
        <v>00-Jan-00 -00:00:00- 00:00:00</v>
      </c>
      <c r="R153" t="str">
        <f t="shared" si="9"/>
        <v>00:00:00- 00:00:00-</v>
      </c>
    </row>
    <row r="154" spans="1:18" ht="24" customHeight="1">
      <c r="A154" s="23">
        <f t="shared" si="11"/>
        <v>153</v>
      </c>
      <c r="O154">
        <f t="shared" si="10"/>
        <v>492</v>
      </c>
      <c r="P154" t="str">
        <f t="shared" si="8"/>
        <v>00-Jan-00 -00:00:00- 00:00:00</v>
      </c>
      <c r="R154" t="str">
        <f t="shared" si="9"/>
        <v>00:00:00- 00:00:00-</v>
      </c>
    </row>
    <row r="155" spans="1:18" ht="24" customHeight="1">
      <c r="A155" s="23">
        <f t="shared" si="11"/>
        <v>154</v>
      </c>
      <c r="O155">
        <f t="shared" si="10"/>
        <v>492</v>
      </c>
      <c r="P155" t="str">
        <f t="shared" si="8"/>
        <v>00-Jan-00 -00:00:00- 00:00:00</v>
      </c>
      <c r="R155" t="str">
        <f t="shared" si="9"/>
        <v>00:00:00- 00:00:00-</v>
      </c>
    </row>
    <row r="156" spans="1:18" ht="24" customHeight="1">
      <c r="A156" s="23">
        <f t="shared" si="11"/>
        <v>155</v>
      </c>
      <c r="O156">
        <f t="shared" si="10"/>
        <v>492</v>
      </c>
      <c r="P156" t="str">
        <f t="shared" si="8"/>
        <v>00-Jan-00 -00:00:00- 00:00:00</v>
      </c>
      <c r="R156" t="str">
        <f t="shared" si="9"/>
        <v>00:00:00- 00:00:00-</v>
      </c>
    </row>
    <row r="157" spans="1:18" ht="24" customHeight="1">
      <c r="A157" s="23">
        <f t="shared" si="11"/>
        <v>156</v>
      </c>
      <c r="O157">
        <f t="shared" si="10"/>
        <v>492</v>
      </c>
      <c r="P157" t="str">
        <f t="shared" si="8"/>
        <v>00-Jan-00 -00:00:00- 00:00:00</v>
      </c>
      <c r="R157" t="str">
        <f t="shared" si="9"/>
        <v>00:00:00- 00:00:00-</v>
      </c>
    </row>
    <row r="158" spans="1:18" ht="24" customHeight="1">
      <c r="A158" s="23">
        <f t="shared" si="11"/>
        <v>157</v>
      </c>
      <c r="O158">
        <f t="shared" si="10"/>
        <v>492</v>
      </c>
      <c r="P158" t="str">
        <f t="shared" si="8"/>
        <v>00-Jan-00 -00:00:00- 00:00:00</v>
      </c>
      <c r="R158" t="str">
        <f t="shared" si="9"/>
        <v>00:00:00- 00:00:00-</v>
      </c>
    </row>
    <row r="159" spans="1:18" ht="24" customHeight="1">
      <c r="A159" s="23">
        <f t="shared" si="11"/>
        <v>158</v>
      </c>
      <c r="O159">
        <f t="shared" si="10"/>
        <v>492</v>
      </c>
      <c r="P159" t="str">
        <f t="shared" si="8"/>
        <v>00-Jan-00 -00:00:00- 00:00:00</v>
      </c>
      <c r="R159" t="str">
        <f t="shared" si="9"/>
        <v>00:00:00- 00:00:00-</v>
      </c>
    </row>
    <row r="160" spans="1:18" ht="24" customHeight="1">
      <c r="A160" s="23">
        <f t="shared" si="11"/>
        <v>159</v>
      </c>
      <c r="O160">
        <f t="shared" si="10"/>
        <v>492</v>
      </c>
      <c r="P160" t="str">
        <f t="shared" si="8"/>
        <v>00-Jan-00 -00:00:00- 00:00:00</v>
      </c>
      <c r="R160" t="str">
        <f t="shared" si="9"/>
        <v>00:00:00- 00:00:00-</v>
      </c>
    </row>
    <row r="161" spans="1:18" ht="24" customHeight="1">
      <c r="A161" s="23">
        <f t="shared" si="11"/>
        <v>160</v>
      </c>
      <c r="O161">
        <f t="shared" si="10"/>
        <v>492</v>
      </c>
      <c r="P161" t="str">
        <f t="shared" si="8"/>
        <v>00-Jan-00 -00:00:00- 00:00:00</v>
      </c>
      <c r="R161" t="str">
        <f t="shared" si="9"/>
        <v>00:00:00- 00:00:00-</v>
      </c>
    </row>
    <row r="162" spans="1:18" ht="24" customHeight="1">
      <c r="A162" s="23">
        <f t="shared" si="11"/>
        <v>161</v>
      </c>
      <c r="O162">
        <f t="shared" si="10"/>
        <v>492</v>
      </c>
      <c r="P162" t="str">
        <f t="shared" si="8"/>
        <v>00-Jan-00 -00:00:00- 00:00:00</v>
      </c>
      <c r="R162" t="str">
        <f t="shared" si="9"/>
        <v>00:00:00- 00:00:00-</v>
      </c>
    </row>
    <row r="163" spans="1:18" ht="24" customHeight="1">
      <c r="A163" s="23">
        <f t="shared" si="11"/>
        <v>162</v>
      </c>
      <c r="O163">
        <f t="shared" si="10"/>
        <v>492</v>
      </c>
      <c r="P163" t="str">
        <f t="shared" si="8"/>
        <v>00-Jan-00 -00:00:00- 00:00:00</v>
      </c>
      <c r="R163" t="str">
        <f t="shared" si="9"/>
        <v>00:00:00- 00:00:00-</v>
      </c>
    </row>
    <row r="164" spans="1:18" ht="24" customHeight="1">
      <c r="A164" s="23">
        <f t="shared" si="11"/>
        <v>163</v>
      </c>
      <c r="O164">
        <f t="shared" si="10"/>
        <v>492</v>
      </c>
      <c r="P164" t="str">
        <f t="shared" si="8"/>
        <v>00-Jan-00 -00:00:00- 00:00:00</v>
      </c>
      <c r="R164" t="str">
        <f t="shared" si="9"/>
        <v>00:00:00- 00:00:00-</v>
      </c>
    </row>
    <row r="165" spans="1:18" ht="24" customHeight="1">
      <c r="A165" s="23">
        <f t="shared" si="11"/>
        <v>164</v>
      </c>
      <c r="O165">
        <f t="shared" si="10"/>
        <v>492</v>
      </c>
      <c r="P165" t="str">
        <f t="shared" si="8"/>
        <v>00-Jan-00 -00:00:00- 00:00:00</v>
      </c>
      <c r="R165" t="str">
        <f t="shared" si="9"/>
        <v>00:00:00- 00:00:00-</v>
      </c>
    </row>
    <row r="166" spans="1:18" ht="24" customHeight="1">
      <c r="A166" s="23">
        <f t="shared" si="11"/>
        <v>165</v>
      </c>
      <c r="O166">
        <f t="shared" si="10"/>
        <v>492</v>
      </c>
      <c r="P166" t="str">
        <f t="shared" si="8"/>
        <v>00-Jan-00 -00:00:00- 00:00:00</v>
      </c>
      <c r="R166" t="str">
        <f t="shared" si="9"/>
        <v>00:00:00- 00:00:00-</v>
      </c>
    </row>
    <row r="167" spans="1:18" ht="24" customHeight="1">
      <c r="A167" s="23">
        <f t="shared" si="11"/>
        <v>166</v>
      </c>
      <c r="O167">
        <f t="shared" si="10"/>
        <v>492</v>
      </c>
      <c r="P167" t="str">
        <f t="shared" si="8"/>
        <v>00-Jan-00 -00:00:00- 00:00:00</v>
      </c>
      <c r="R167" t="str">
        <f t="shared" si="9"/>
        <v>00:00:00- 00:00:00-</v>
      </c>
    </row>
    <row r="168" spans="1:18" ht="24" customHeight="1">
      <c r="A168" s="23">
        <f t="shared" si="11"/>
        <v>167</v>
      </c>
      <c r="O168">
        <f t="shared" si="10"/>
        <v>492</v>
      </c>
      <c r="P168" t="str">
        <f t="shared" si="8"/>
        <v>00-Jan-00 -00:00:00- 00:00:00</v>
      </c>
      <c r="R168" t="str">
        <f t="shared" si="9"/>
        <v>00:00:00- 00:00:00-</v>
      </c>
    </row>
    <row r="169" spans="1:18" ht="24" customHeight="1">
      <c r="A169" s="23">
        <f t="shared" si="11"/>
        <v>168</v>
      </c>
      <c r="O169">
        <f t="shared" si="10"/>
        <v>492</v>
      </c>
      <c r="P169" t="str">
        <f t="shared" si="8"/>
        <v>00-Jan-00 -00:00:00- 00:00:00</v>
      </c>
      <c r="R169" t="str">
        <f t="shared" si="9"/>
        <v>00:00:00- 00:00:00-</v>
      </c>
    </row>
    <row r="170" spans="1:18" ht="24" customHeight="1">
      <c r="A170" s="23">
        <f t="shared" si="11"/>
        <v>169</v>
      </c>
      <c r="O170">
        <f t="shared" si="10"/>
        <v>492</v>
      </c>
      <c r="P170" t="str">
        <f t="shared" si="8"/>
        <v>00-Jan-00 -00:00:00- 00:00:00</v>
      </c>
      <c r="R170" t="str">
        <f t="shared" si="9"/>
        <v>00:00:00- 00:00:00-</v>
      </c>
    </row>
    <row r="171" spans="1:18" ht="24" customHeight="1">
      <c r="A171" s="23">
        <f t="shared" si="11"/>
        <v>170</v>
      </c>
      <c r="O171">
        <f t="shared" si="10"/>
        <v>492</v>
      </c>
      <c r="P171" t="str">
        <f t="shared" si="8"/>
        <v>00-Jan-00 -00:00:00- 00:00:00</v>
      </c>
      <c r="R171" t="str">
        <f t="shared" si="9"/>
        <v>00:00:00- 00:00:00-</v>
      </c>
    </row>
    <row r="172" spans="1:18" ht="24" customHeight="1">
      <c r="A172" s="23">
        <f t="shared" si="11"/>
        <v>171</v>
      </c>
      <c r="O172">
        <f t="shared" si="10"/>
        <v>492</v>
      </c>
      <c r="P172" t="str">
        <f t="shared" si="8"/>
        <v>00-Jan-00 -00:00:00- 00:00:00</v>
      </c>
      <c r="R172" t="str">
        <f t="shared" si="9"/>
        <v>00:00:00- 00:00:00-</v>
      </c>
    </row>
    <row r="173" spans="1:18" ht="24" customHeight="1">
      <c r="A173" s="23">
        <f t="shared" si="11"/>
        <v>172</v>
      </c>
      <c r="O173">
        <f t="shared" si="10"/>
        <v>492</v>
      </c>
      <c r="P173" t="str">
        <f t="shared" si="8"/>
        <v>00-Jan-00 -00:00:00- 00:00:00</v>
      </c>
      <c r="R173" t="str">
        <f t="shared" si="9"/>
        <v>00:00:00- 00:00:00-</v>
      </c>
    </row>
    <row r="174" spans="1:18" ht="24" customHeight="1">
      <c r="A174" s="23">
        <f t="shared" si="11"/>
        <v>173</v>
      </c>
      <c r="O174">
        <f t="shared" si="10"/>
        <v>492</v>
      </c>
      <c r="P174" t="str">
        <f t="shared" si="8"/>
        <v>00-Jan-00 -00:00:00- 00:00:00</v>
      </c>
      <c r="R174" t="str">
        <f t="shared" si="9"/>
        <v>00:00:00- 00:00:00-</v>
      </c>
    </row>
    <row r="175" spans="1:18" ht="24" customHeight="1">
      <c r="A175" s="23">
        <f t="shared" si="11"/>
        <v>174</v>
      </c>
      <c r="O175">
        <f t="shared" si="10"/>
        <v>492</v>
      </c>
      <c r="P175" t="str">
        <f t="shared" si="8"/>
        <v>00-Jan-00 -00:00:00- 00:00:00</v>
      </c>
      <c r="R175" t="str">
        <f t="shared" si="9"/>
        <v>00:00:00- 00:00:00-</v>
      </c>
    </row>
    <row r="176" spans="1:18" ht="24" customHeight="1">
      <c r="A176" s="23">
        <f t="shared" si="11"/>
        <v>175</v>
      </c>
      <c r="O176">
        <f t="shared" si="10"/>
        <v>492</v>
      </c>
      <c r="P176" t="str">
        <f t="shared" si="8"/>
        <v>00-Jan-00 -00:00:00- 00:00:00</v>
      </c>
      <c r="R176" t="str">
        <f t="shared" si="9"/>
        <v>00:00:00- 00:00:00-</v>
      </c>
    </row>
    <row r="177" spans="1:18" ht="24" customHeight="1">
      <c r="A177" s="23">
        <f t="shared" si="11"/>
        <v>176</v>
      </c>
      <c r="O177">
        <f t="shared" si="10"/>
        <v>492</v>
      </c>
      <c r="P177" t="str">
        <f t="shared" si="8"/>
        <v>00-Jan-00 -00:00:00- 00:00:00</v>
      </c>
      <c r="R177" t="str">
        <f t="shared" si="9"/>
        <v>00:00:00- 00:00:00-</v>
      </c>
    </row>
    <row r="178" spans="1:18" ht="24" customHeight="1">
      <c r="A178" s="23">
        <f t="shared" si="11"/>
        <v>177</v>
      </c>
      <c r="O178">
        <f t="shared" si="10"/>
        <v>492</v>
      </c>
      <c r="P178" t="str">
        <f t="shared" si="8"/>
        <v>00-Jan-00 -00:00:00- 00:00:00</v>
      </c>
      <c r="R178" t="str">
        <f t="shared" si="9"/>
        <v>00:00:00- 00:00:00-</v>
      </c>
    </row>
    <row r="179" spans="1:18" ht="24" customHeight="1">
      <c r="A179" s="23">
        <f t="shared" si="11"/>
        <v>178</v>
      </c>
      <c r="O179">
        <f t="shared" si="10"/>
        <v>492</v>
      </c>
      <c r="P179" t="str">
        <f t="shared" si="8"/>
        <v>00-Jan-00 -00:00:00- 00:00:00</v>
      </c>
      <c r="R179" t="str">
        <f t="shared" si="9"/>
        <v>00:00:00- 00:00:00-</v>
      </c>
    </row>
    <row r="180" spans="1:18" ht="24" customHeight="1">
      <c r="A180" s="23">
        <f t="shared" si="11"/>
        <v>179</v>
      </c>
      <c r="O180">
        <f t="shared" si="10"/>
        <v>492</v>
      </c>
      <c r="P180" t="str">
        <f t="shared" si="8"/>
        <v>00-Jan-00 -00:00:00- 00:00:00</v>
      </c>
      <c r="R180" t="str">
        <f t="shared" si="9"/>
        <v>00:00:00- 00:00:00-</v>
      </c>
    </row>
    <row r="181" spans="1:18" ht="24" customHeight="1">
      <c r="A181" s="23">
        <f t="shared" si="11"/>
        <v>180</v>
      </c>
      <c r="O181">
        <f t="shared" si="10"/>
        <v>492</v>
      </c>
      <c r="P181" t="str">
        <f t="shared" si="8"/>
        <v>00-Jan-00 -00:00:00- 00:00:00</v>
      </c>
      <c r="R181" t="str">
        <f t="shared" si="9"/>
        <v>00:00:00- 00:00:00-</v>
      </c>
    </row>
    <row r="182" spans="1:18" ht="24" customHeight="1">
      <c r="A182" s="23">
        <f t="shared" si="11"/>
        <v>181</v>
      </c>
      <c r="O182">
        <f t="shared" si="10"/>
        <v>492</v>
      </c>
      <c r="P182" t="str">
        <f t="shared" si="8"/>
        <v>00-Jan-00 -00:00:00- 00:00:00</v>
      </c>
      <c r="R182" t="str">
        <f t="shared" si="9"/>
        <v>00:00:00- 00:00:00-</v>
      </c>
    </row>
    <row r="183" spans="1:18" ht="24" customHeight="1">
      <c r="A183" s="23">
        <f t="shared" si="11"/>
        <v>182</v>
      </c>
      <c r="O183">
        <f t="shared" si="10"/>
        <v>492</v>
      </c>
      <c r="P183" t="str">
        <f t="shared" si="8"/>
        <v>00-Jan-00 -00:00:00- 00:00:00</v>
      </c>
      <c r="R183" t="str">
        <f t="shared" si="9"/>
        <v>00:00:00- 00:00:00-</v>
      </c>
    </row>
    <row r="184" spans="1:18" ht="24" customHeight="1">
      <c r="A184" s="23">
        <f t="shared" si="11"/>
        <v>183</v>
      </c>
      <c r="O184">
        <f t="shared" si="10"/>
        <v>492</v>
      </c>
      <c r="P184" t="str">
        <f t="shared" si="8"/>
        <v>00-Jan-00 -00:00:00- 00:00:00</v>
      </c>
      <c r="R184" t="str">
        <f t="shared" si="9"/>
        <v>00:00:00- 00:00:00-</v>
      </c>
    </row>
    <row r="185" spans="1:18" ht="24" customHeight="1">
      <c r="A185" s="23">
        <f t="shared" si="11"/>
        <v>184</v>
      </c>
      <c r="O185">
        <f t="shared" si="10"/>
        <v>492</v>
      </c>
      <c r="P185" t="str">
        <f t="shared" si="8"/>
        <v>00-Jan-00 -00:00:00- 00:00:00</v>
      </c>
      <c r="R185" t="str">
        <f t="shared" si="9"/>
        <v>00:00:00- 00:00:00-</v>
      </c>
    </row>
    <row r="186" spans="1:18" ht="24" customHeight="1">
      <c r="A186" s="23">
        <f t="shared" si="11"/>
        <v>185</v>
      </c>
      <c r="O186">
        <f t="shared" si="10"/>
        <v>492</v>
      </c>
      <c r="P186" t="str">
        <f t="shared" si="8"/>
        <v>00-Jan-00 -00:00:00- 00:00:00</v>
      </c>
      <c r="R186" t="str">
        <f t="shared" si="9"/>
        <v>00:00:00- 00:00:00-</v>
      </c>
    </row>
    <row r="187" spans="1:18" ht="24" customHeight="1">
      <c r="A187" s="23">
        <f t="shared" si="11"/>
        <v>186</v>
      </c>
      <c r="O187">
        <f t="shared" si="10"/>
        <v>492</v>
      </c>
      <c r="P187" t="str">
        <f t="shared" si="8"/>
        <v>00-Jan-00 -00:00:00- 00:00:00</v>
      </c>
      <c r="R187" t="str">
        <f t="shared" si="9"/>
        <v>00:00:00- 00:00:00-</v>
      </c>
    </row>
    <row r="188" spans="1:18" ht="24" customHeight="1">
      <c r="A188" s="23">
        <f t="shared" si="11"/>
        <v>187</v>
      </c>
      <c r="O188">
        <f t="shared" si="10"/>
        <v>492</v>
      </c>
      <c r="P188" t="str">
        <f t="shared" si="8"/>
        <v>00-Jan-00 -00:00:00- 00:00:00</v>
      </c>
      <c r="R188" t="str">
        <f t="shared" si="9"/>
        <v>00:00:00- 00:00:00-</v>
      </c>
    </row>
    <row r="189" spans="1:18" ht="24" customHeight="1">
      <c r="A189" s="23">
        <f t="shared" si="11"/>
        <v>188</v>
      </c>
      <c r="O189">
        <f t="shared" si="10"/>
        <v>492</v>
      </c>
      <c r="P189" t="str">
        <f t="shared" si="8"/>
        <v>00-Jan-00 -00:00:00- 00:00:00</v>
      </c>
      <c r="R189" t="str">
        <f t="shared" si="9"/>
        <v>00:00:00- 00:00:00-</v>
      </c>
    </row>
    <row r="190" spans="1:18" ht="24" customHeight="1">
      <c r="A190" s="23">
        <f t="shared" si="11"/>
        <v>189</v>
      </c>
      <c r="O190">
        <f t="shared" si="10"/>
        <v>492</v>
      </c>
      <c r="P190" t="str">
        <f t="shared" si="8"/>
        <v>00-Jan-00 -00:00:00- 00:00:00</v>
      </c>
      <c r="R190" t="str">
        <f t="shared" si="9"/>
        <v>00:00:00- 00:00:00-</v>
      </c>
    </row>
    <row r="191" spans="1:18" ht="24" customHeight="1">
      <c r="A191" s="23">
        <f t="shared" si="11"/>
        <v>190</v>
      </c>
      <c r="O191">
        <f t="shared" si="10"/>
        <v>492</v>
      </c>
      <c r="P191" t="str">
        <f t="shared" si="8"/>
        <v>00-Jan-00 -00:00:00- 00:00:00</v>
      </c>
      <c r="R191" t="str">
        <f t="shared" si="9"/>
        <v>00:00:00- 00:00:00-</v>
      </c>
    </row>
    <row r="192" spans="1:18" ht="24" customHeight="1">
      <c r="A192" s="23">
        <f t="shared" si="11"/>
        <v>191</v>
      </c>
      <c r="O192">
        <f t="shared" si="10"/>
        <v>492</v>
      </c>
      <c r="P192" t="str">
        <f t="shared" ref="P192:P255" si="12">_xlfn.CONCAT(TEXT(DATE(YEAR(B192),MONTH(B192),DAY(B192)),"DD-MMM-YY")," ",G192,,"-",TEXT(TIME(HOUR(H192),MINUTE(H192),SECOND(H192)),"HH:MM:SS"),"- ",TEXT(TIME(HOUR(I192),MINUTE(I192),HOUR(I192)),"Hh:MM:SS"))</f>
        <v>00-Jan-00 -00:00:00- 00:00:00</v>
      </c>
      <c r="R192" t="str">
        <f t="shared" ref="R192:R255" si="13">(_xlfn.CONCAT(TEXT(TIME(HOUR(H192),MINUTE(H192),SECOND(H192)),"HH:MM:SS"),"- ",TEXT(TIME(HOUR(I192),MINUTE(I192),HOUR(I192)),"Hh:MM:SS"),"-",G192))</f>
        <v>00:00:00- 00:00:00-</v>
      </c>
    </row>
    <row r="193" spans="1:18" ht="24" customHeight="1">
      <c r="A193" s="23">
        <f t="shared" si="11"/>
        <v>192</v>
      </c>
      <c r="O193">
        <f t="shared" si="10"/>
        <v>492</v>
      </c>
      <c r="P193" t="str">
        <f t="shared" si="12"/>
        <v>00-Jan-00 -00:00:00- 00:00:00</v>
      </c>
      <c r="R193" t="str">
        <f t="shared" si="13"/>
        <v>00:00:00- 00:00:00-</v>
      </c>
    </row>
    <row r="194" spans="1:18" ht="24" customHeight="1">
      <c r="A194" s="23">
        <f t="shared" si="11"/>
        <v>193</v>
      </c>
      <c r="O194">
        <f t="shared" ref="O194:O257" si="14">COUNTIF($P$2:$P$1048576,P194)</f>
        <v>492</v>
      </c>
      <c r="P194" t="str">
        <f t="shared" si="12"/>
        <v>00-Jan-00 -00:00:00- 00:00:00</v>
      </c>
      <c r="R194" t="str">
        <f t="shared" si="13"/>
        <v>00:00:00- 00:00:00-</v>
      </c>
    </row>
    <row r="195" spans="1:18" ht="24" customHeight="1">
      <c r="A195" s="23">
        <f t="shared" ref="A195:A258" si="15">A194+1</f>
        <v>194</v>
      </c>
      <c r="O195">
        <f t="shared" si="14"/>
        <v>492</v>
      </c>
      <c r="P195" t="str">
        <f t="shared" si="12"/>
        <v>00-Jan-00 -00:00:00- 00:00:00</v>
      </c>
      <c r="R195" t="str">
        <f t="shared" si="13"/>
        <v>00:00:00- 00:00:00-</v>
      </c>
    </row>
    <row r="196" spans="1:18" ht="24" customHeight="1">
      <c r="A196" s="23">
        <f t="shared" si="15"/>
        <v>195</v>
      </c>
      <c r="O196">
        <f t="shared" si="14"/>
        <v>492</v>
      </c>
      <c r="P196" t="str">
        <f t="shared" si="12"/>
        <v>00-Jan-00 -00:00:00- 00:00:00</v>
      </c>
      <c r="R196" t="str">
        <f t="shared" si="13"/>
        <v>00:00:00- 00:00:00-</v>
      </c>
    </row>
    <row r="197" spans="1:18" ht="24" customHeight="1">
      <c r="A197" s="23">
        <f t="shared" si="15"/>
        <v>196</v>
      </c>
      <c r="O197">
        <f t="shared" si="14"/>
        <v>492</v>
      </c>
      <c r="P197" t="str">
        <f t="shared" si="12"/>
        <v>00-Jan-00 -00:00:00- 00:00:00</v>
      </c>
      <c r="R197" t="str">
        <f t="shared" si="13"/>
        <v>00:00:00- 00:00:00-</v>
      </c>
    </row>
    <row r="198" spans="1:18" ht="24" customHeight="1">
      <c r="A198" s="23">
        <f t="shared" si="15"/>
        <v>197</v>
      </c>
      <c r="O198">
        <f t="shared" si="14"/>
        <v>492</v>
      </c>
      <c r="P198" t="str">
        <f t="shared" si="12"/>
        <v>00-Jan-00 -00:00:00- 00:00:00</v>
      </c>
      <c r="R198" t="str">
        <f t="shared" si="13"/>
        <v>00:00:00- 00:00:00-</v>
      </c>
    </row>
    <row r="199" spans="1:18" ht="24" customHeight="1">
      <c r="A199" s="23">
        <f t="shared" si="15"/>
        <v>198</v>
      </c>
      <c r="O199">
        <f t="shared" si="14"/>
        <v>492</v>
      </c>
      <c r="P199" t="str">
        <f t="shared" si="12"/>
        <v>00-Jan-00 -00:00:00- 00:00:00</v>
      </c>
      <c r="R199" t="str">
        <f t="shared" si="13"/>
        <v>00:00:00- 00:00:00-</v>
      </c>
    </row>
    <row r="200" spans="1:18" ht="24" customHeight="1">
      <c r="A200" s="23">
        <f t="shared" si="15"/>
        <v>199</v>
      </c>
      <c r="O200">
        <f t="shared" si="14"/>
        <v>492</v>
      </c>
      <c r="P200" t="str">
        <f t="shared" si="12"/>
        <v>00-Jan-00 -00:00:00- 00:00:00</v>
      </c>
      <c r="R200" t="str">
        <f t="shared" si="13"/>
        <v>00:00:00- 00:00:00-</v>
      </c>
    </row>
    <row r="201" spans="1:18" ht="24" customHeight="1">
      <c r="A201" s="23">
        <f t="shared" si="15"/>
        <v>200</v>
      </c>
      <c r="O201">
        <f t="shared" si="14"/>
        <v>492</v>
      </c>
      <c r="P201" t="str">
        <f t="shared" si="12"/>
        <v>00-Jan-00 -00:00:00- 00:00:00</v>
      </c>
      <c r="R201" t="str">
        <f t="shared" si="13"/>
        <v>00:00:00- 00:00:00-</v>
      </c>
    </row>
    <row r="202" spans="1:18" ht="24" customHeight="1">
      <c r="A202" s="23">
        <f t="shared" si="15"/>
        <v>201</v>
      </c>
      <c r="O202">
        <f t="shared" si="14"/>
        <v>492</v>
      </c>
      <c r="P202" t="str">
        <f t="shared" si="12"/>
        <v>00-Jan-00 -00:00:00- 00:00:00</v>
      </c>
      <c r="R202" t="str">
        <f t="shared" si="13"/>
        <v>00:00:00- 00:00:00-</v>
      </c>
    </row>
    <row r="203" spans="1:18" ht="24" customHeight="1">
      <c r="A203" s="23">
        <f t="shared" si="15"/>
        <v>202</v>
      </c>
      <c r="O203">
        <f t="shared" si="14"/>
        <v>492</v>
      </c>
      <c r="P203" t="str">
        <f t="shared" si="12"/>
        <v>00-Jan-00 -00:00:00- 00:00:00</v>
      </c>
      <c r="R203" t="str">
        <f t="shared" si="13"/>
        <v>00:00:00- 00:00:00-</v>
      </c>
    </row>
    <row r="204" spans="1:18" ht="24" customHeight="1">
      <c r="A204" s="23">
        <f t="shared" si="15"/>
        <v>203</v>
      </c>
      <c r="O204">
        <f t="shared" si="14"/>
        <v>492</v>
      </c>
      <c r="P204" t="str">
        <f t="shared" si="12"/>
        <v>00-Jan-00 -00:00:00- 00:00:00</v>
      </c>
      <c r="R204" t="str">
        <f t="shared" si="13"/>
        <v>00:00:00- 00:00:00-</v>
      </c>
    </row>
    <row r="205" spans="1:18" ht="24" customHeight="1">
      <c r="A205" s="23">
        <f t="shared" si="15"/>
        <v>204</v>
      </c>
      <c r="O205">
        <f t="shared" si="14"/>
        <v>492</v>
      </c>
      <c r="P205" t="str">
        <f t="shared" si="12"/>
        <v>00-Jan-00 -00:00:00- 00:00:00</v>
      </c>
      <c r="R205" t="str">
        <f t="shared" si="13"/>
        <v>00:00:00- 00:00:00-</v>
      </c>
    </row>
    <row r="206" spans="1:18" ht="24" customHeight="1">
      <c r="A206" s="23">
        <f t="shared" si="15"/>
        <v>205</v>
      </c>
      <c r="O206">
        <f t="shared" si="14"/>
        <v>492</v>
      </c>
      <c r="P206" t="str">
        <f t="shared" si="12"/>
        <v>00-Jan-00 -00:00:00- 00:00:00</v>
      </c>
      <c r="R206" t="str">
        <f t="shared" si="13"/>
        <v>00:00:00- 00:00:00-</v>
      </c>
    </row>
    <row r="207" spans="1:18" ht="24" customHeight="1">
      <c r="A207" s="23">
        <f t="shared" si="15"/>
        <v>206</v>
      </c>
      <c r="O207">
        <f t="shared" si="14"/>
        <v>492</v>
      </c>
      <c r="P207" t="str">
        <f t="shared" si="12"/>
        <v>00-Jan-00 -00:00:00- 00:00:00</v>
      </c>
      <c r="R207" t="str">
        <f t="shared" si="13"/>
        <v>00:00:00- 00:00:00-</v>
      </c>
    </row>
    <row r="208" spans="1:18" ht="24" customHeight="1">
      <c r="A208" s="23">
        <f t="shared" si="15"/>
        <v>207</v>
      </c>
      <c r="O208">
        <f t="shared" si="14"/>
        <v>492</v>
      </c>
      <c r="P208" t="str">
        <f t="shared" si="12"/>
        <v>00-Jan-00 -00:00:00- 00:00:00</v>
      </c>
      <c r="R208" t="str">
        <f t="shared" si="13"/>
        <v>00:00:00- 00:00:00-</v>
      </c>
    </row>
    <row r="209" spans="1:18" ht="24" customHeight="1">
      <c r="A209" s="23">
        <f t="shared" si="15"/>
        <v>208</v>
      </c>
      <c r="O209">
        <f t="shared" si="14"/>
        <v>492</v>
      </c>
      <c r="P209" t="str">
        <f t="shared" si="12"/>
        <v>00-Jan-00 -00:00:00- 00:00:00</v>
      </c>
      <c r="R209" t="str">
        <f t="shared" si="13"/>
        <v>00:00:00- 00:00:00-</v>
      </c>
    </row>
    <row r="210" spans="1:18" ht="24" customHeight="1">
      <c r="A210" s="23">
        <f t="shared" si="15"/>
        <v>209</v>
      </c>
      <c r="O210">
        <f t="shared" si="14"/>
        <v>492</v>
      </c>
      <c r="P210" t="str">
        <f t="shared" si="12"/>
        <v>00-Jan-00 -00:00:00- 00:00:00</v>
      </c>
      <c r="R210" t="str">
        <f t="shared" si="13"/>
        <v>00:00:00- 00:00:00-</v>
      </c>
    </row>
    <row r="211" spans="1:18" ht="24" customHeight="1">
      <c r="A211" s="23">
        <f t="shared" si="15"/>
        <v>210</v>
      </c>
      <c r="O211">
        <f t="shared" si="14"/>
        <v>492</v>
      </c>
      <c r="P211" t="str">
        <f t="shared" si="12"/>
        <v>00-Jan-00 -00:00:00- 00:00:00</v>
      </c>
      <c r="R211" t="str">
        <f t="shared" si="13"/>
        <v>00:00:00- 00:00:00-</v>
      </c>
    </row>
    <row r="212" spans="1:18" ht="24" customHeight="1">
      <c r="A212" s="23">
        <f t="shared" si="15"/>
        <v>211</v>
      </c>
      <c r="O212">
        <f t="shared" si="14"/>
        <v>492</v>
      </c>
      <c r="P212" t="str">
        <f t="shared" si="12"/>
        <v>00-Jan-00 -00:00:00- 00:00:00</v>
      </c>
      <c r="R212" t="str">
        <f t="shared" si="13"/>
        <v>00:00:00- 00:00:00-</v>
      </c>
    </row>
    <row r="213" spans="1:18" ht="24" customHeight="1">
      <c r="A213" s="23">
        <f t="shared" si="15"/>
        <v>212</v>
      </c>
      <c r="O213">
        <f t="shared" si="14"/>
        <v>492</v>
      </c>
      <c r="P213" t="str">
        <f t="shared" si="12"/>
        <v>00-Jan-00 -00:00:00- 00:00:00</v>
      </c>
      <c r="R213" t="str">
        <f t="shared" si="13"/>
        <v>00:00:00- 00:00:00-</v>
      </c>
    </row>
    <row r="214" spans="1:18" ht="24" customHeight="1">
      <c r="A214" s="23">
        <f t="shared" si="15"/>
        <v>213</v>
      </c>
      <c r="O214">
        <f t="shared" si="14"/>
        <v>492</v>
      </c>
      <c r="P214" t="str">
        <f t="shared" si="12"/>
        <v>00-Jan-00 -00:00:00- 00:00:00</v>
      </c>
      <c r="R214" t="str">
        <f t="shared" si="13"/>
        <v>00:00:00- 00:00:00-</v>
      </c>
    </row>
    <row r="215" spans="1:18" ht="24" customHeight="1">
      <c r="A215" s="23">
        <f t="shared" si="15"/>
        <v>214</v>
      </c>
      <c r="O215">
        <f t="shared" si="14"/>
        <v>492</v>
      </c>
      <c r="P215" t="str">
        <f t="shared" si="12"/>
        <v>00-Jan-00 -00:00:00- 00:00:00</v>
      </c>
      <c r="R215" t="str">
        <f t="shared" si="13"/>
        <v>00:00:00- 00:00:00-</v>
      </c>
    </row>
    <row r="216" spans="1:18" ht="24" customHeight="1">
      <c r="A216" s="23">
        <f t="shared" si="15"/>
        <v>215</v>
      </c>
      <c r="O216">
        <f t="shared" si="14"/>
        <v>492</v>
      </c>
      <c r="P216" t="str">
        <f t="shared" si="12"/>
        <v>00-Jan-00 -00:00:00- 00:00:00</v>
      </c>
      <c r="R216" t="str">
        <f t="shared" si="13"/>
        <v>00:00:00- 00:00:00-</v>
      </c>
    </row>
    <row r="217" spans="1:18" ht="24" customHeight="1">
      <c r="A217" s="23">
        <f t="shared" si="15"/>
        <v>216</v>
      </c>
      <c r="O217">
        <f t="shared" si="14"/>
        <v>492</v>
      </c>
      <c r="P217" t="str">
        <f t="shared" si="12"/>
        <v>00-Jan-00 -00:00:00- 00:00:00</v>
      </c>
      <c r="R217" t="str">
        <f t="shared" si="13"/>
        <v>00:00:00- 00:00:00-</v>
      </c>
    </row>
    <row r="218" spans="1:18" ht="24" customHeight="1">
      <c r="A218" s="23">
        <f t="shared" si="15"/>
        <v>217</v>
      </c>
      <c r="O218">
        <f t="shared" si="14"/>
        <v>492</v>
      </c>
      <c r="P218" t="str">
        <f t="shared" si="12"/>
        <v>00-Jan-00 -00:00:00- 00:00:00</v>
      </c>
      <c r="R218" t="str">
        <f t="shared" si="13"/>
        <v>00:00:00- 00:00:00-</v>
      </c>
    </row>
    <row r="219" spans="1:18" ht="24" customHeight="1">
      <c r="A219" s="23">
        <f t="shared" si="15"/>
        <v>218</v>
      </c>
      <c r="O219">
        <f t="shared" si="14"/>
        <v>492</v>
      </c>
      <c r="P219" t="str">
        <f t="shared" si="12"/>
        <v>00-Jan-00 -00:00:00- 00:00:00</v>
      </c>
      <c r="R219" t="str">
        <f t="shared" si="13"/>
        <v>00:00:00- 00:00:00-</v>
      </c>
    </row>
    <row r="220" spans="1:18" ht="24" customHeight="1">
      <c r="A220" s="23">
        <f t="shared" si="15"/>
        <v>219</v>
      </c>
      <c r="O220">
        <f t="shared" si="14"/>
        <v>492</v>
      </c>
      <c r="P220" t="str">
        <f t="shared" si="12"/>
        <v>00-Jan-00 -00:00:00- 00:00:00</v>
      </c>
      <c r="R220" t="str">
        <f t="shared" si="13"/>
        <v>00:00:00- 00:00:00-</v>
      </c>
    </row>
    <row r="221" spans="1:18" ht="24" customHeight="1">
      <c r="A221" s="23">
        <f t="shared" si="15"/>
        <v>220</v>
      </c>
      <c r="O221">
        <f t="shared" si="14"/>
        <v>492</v>
      </c>
      <c r="P221" t="str">
        <f t="shared" si="12"/>
        <v>00-Jan-00 -00:00:00- 00:00:00</v>
      </c>
      <c r="R221" t="str">
        <f t="shared" si="13"/>
        <v>00:00:00- 00:00:00-</v>
      </c>
    </row>
    <row r="222" spans="1:18" ht="24" customHeight="1">
      <c r="A222" s="23">
        <f t="shared" si="15"/>
        <v>221</v>
      </c>
      <c r="O222">
        <f t="shared" si="14"/>
        <v>492</v>
      </c>
      <c r="P222" t="str">
        <f t="shared" si="12"/>
        <v>00-Jan-00 -00:00:00- 00:00:00</v>
      </c>
      <c r="R222" t="str">
        <f t="shared" si="13"/>
        <v>00:00:00- 00:00:00-</v>
      </c>
    </row>
    <row r="223" spans="1:18" ht="24" customHeight="1">
      <c r="A223" s="23">
        <f t="shared" si="15"/>
        <v>222</v>
      </c>
      <c r="O223">
        <f t="shared" si="14"/>
        <v>492</v>
      </c>
      <c r="P223" t="str">
        <f t="shared" si="12"/>
        <v>00-Jan-00 -00:00:00- 00:00:00</v>
      </c>
      <c r="R223" t="str">
        <f t="shared" si="13"/>
        <v>00:00:00- 00:00:00-</v>
      </c>
    </row>
    <row r="224" spans="1:18" ht="24" customHeight="1">
      <c r="A224" s="23">
        <f t="shared" si="15"/>
        <v>223</v>
      </c>
      <c r="O224">
        <f t="shared" si="14"/>
        <v>492</v>
      </c>
      <c r="P224" t="str">
        <f t="shared" si="12"/>
        <v>00-Jan-00 -00:00:00- 00:00:00</v>
      </c>
      <c r="R224" t="str">
        <f t="shared" si="13"/>
        <v>00:00:00- 00:00:00-</v>
      </c>
    </row>
    <row r="225" spans="1:18" ht="24" customHeight="1">
      <c r="A225" s="23">
        <f t="shared" si="15"/>
        <v>224</v>
      </c>
      <c r="O225">
        <f t="shared" si="14"/>
        <v>492</v>
      </c>
      <c r="P225" t="str">
        <f t="shared" si="12"/>
        <v>00-Jan-00 -00:00:00- 00:00:00</v>
      </c>
      <c r="R225" t="str">
        <f t="shared" si="13"/>
        <v>00:00:00- 00:00:00-</v>
      </c>
    </row>
    <row r="226" spans="1:18" ht="24" customHeight="1">
      <c r="A226" s="23">
        <f t="shared" si="15"/>
        <v>225</v>
      </c>
      <c r="O226">
        <f t="shared" si="14"/>
        <v>492</v>
      </c>
      <c r="P226" t="str">
        <f t="shared" si="12"/>
        <v>00-Jan-00 -00:00:00- 00:00:00</v>
      </c>
      <c r="R226" t="str">
        <f t="shared" si="13"/>
        <v>00:00:00- 00:00:00-</v>
      </c>
    </row>
    <row r="227" spans="1:18" ht="24" customHeight="1">
      <c r="A227" s="23">
        <f t="shared" si="15"/>
        <v>226</v>
      </c>
      <c r="O227">
        <f t="shared" si="14"/>
        <v>492</v>
      </c>
      <c r="P227" t="str">
        <f t="shared" si="12"/>
        <v>00-Jan-00 -00:00:00- 00:00:00</v>
      </c>
      <c r="R227" t="str">
        <f t="shared" si="13"/>
        <v>00:00:00- 00:00:00-</v>
      </c>
    </row>
    <row r="228" spans="1:18" ht="24" customHeight="1">
      <c r="A228" s="23">
        <f t="shared" si="15"/>
        <v>227</v>
      </c>
      <c r="O228">
        <f t="shared" si="14"/>
        <v>492</v>
      </c>
      <c r="P228" t="str">
        <f t="shared" si="12"/>
        <v>00-Jan-00 -00:00:00- 00:00:00</v>
      </c>
      <c r="R228" t="str">
        <f t="shared" si="13"/>
        <v>00:00:00- 00:00:00-</v>
      </c>
    </row>
    <row r="229" spans="1:18" ht="24" customHeight="1">
      <c r="A229" s="23">
        <f t="shared" si="15"/>
        <v>228</v>
      </c>
      <c r="O229">
        <f t="shared" si="14"/>
        <v>492</v>
      </c>
      <c r="P229" t="str">
        <f t="shared" si="12"/>
        <v>00-Jan-00 -00:00:00- 00:00:00</v>
      </c>
      <c r="R229" t="str">
        <f t="shared" si="13"/>
        <v>00:00:00- 00:00:00-</v>
      </c>
    </row>
    <row r="230" spans="1:18" ht="24" customHeight="1">
      <c r="A230" s="23">
        <f t="shared" si="15"/>
        <v>229</v>
      </c>
      <c r="O230">
        <f t="shared" si="14"/>
        <v>492</v>
      </c>
      <c r="P230" t="str">
        <f t="shared" si="12"/>
        <v>00-Jan-00 -00:00:00- 00:00:00</v>
      </c>
      <c r="R230" t="str">
        <f t="shared" si="13"/>
        <v>00:00:00- 00:00:00-</v>
      </c>
    </row>
    <row r="231" spans="1:18" ht="24" customHeight="1">
      <c r="A231" s="23">
        <f t="shared" si="15"/>
        <v>230</v>
      </c>
      <c r="O231">
        <f t="shared" si="14"/>
        <v>492</v>
      </c>
      <c r="P231" t="str">
        <f t="shared" si="12"/>
        <v>00-Jan-00 -00:00:00- 00:00:00</v>
      </c>
      <c r="R231" t="str">
        <f t="shared" si="13"/>
        <v>00:00:00- 00:00:00-</v>
      </c>
    </row>
    <row r="232" spans="1:18" ht="24" customHeight="1">
      <c r="A232" s="23">
        <f t="shared" si="15"/>
        <v>231</v>
      </c>
      <c r="O232">
        <f t="shared" si="14"/>
        <v>492</v>
      </c>
      <c r="P232" t="str">
        <f t="shared" si="12"/>
        <v>00-Jan-00 -00:00:00- 00:00:00</v>
      </c>
      <c r="R232" t="str">
        <f t="shared" si="13"/>
        <v>00:00:00- 00:00:00-</v>
      </c>
    </row>
    <row r="233" spans="1:18" ht="24" customHeight="1">
      <c r="A233" s="23">
        <f t="shared" si="15"/>
        <v>232</v>
      </c>
      <c r="O233">
        <f t="shared" si="14"/>
        <v>492</v>
      </c>
      <c r="P233" t="str">
        <f t="shared" si="12"/>
        <v>00-Jan-00 -00:00:00- 00:00:00</v>
      </c>
      <c r="R233" t="str">
        <f t="shared" si="13"/>
        <v>00:00:00- 00:00:00-</v>
      </c>
    </row>
    <row r="234" spans="1:18" ht="24" customHeight="1">
      <c r="A234" s="23">
        <f t="shared" si="15"/>
        <v>233</v>
      </c>
      <c r="O234">
        <f t="shared" si="14"/>
        <v>492</v>
      </c>
      <c r="P234" t="str">
        <f t="shared" si="12"/>
        <v>00-Jan-00 -00:00:00- 00:00:00</v>
      </c>
      <c r="R234" t="str">
        <f t="shared" si="13"/>
        <v>00:00:00- 00:00:00-</v>
      </c>
    </row>
    <row r="235" spans="1:18" ht="24" customHeight="1">
      <c r="A235" s="23">
        <f t="shared" si="15"/>
        <v>234</v>
      </c>
      <c r="O235">
        <f t="shared" si="14"/>
        <v>492</v>
      </c>
      <c r="P235" t="str">
        <f t="shared" si="12"/>
        <v>00-Jan-00 -00:00:00- 00:00:00</v>
      </c>
      <c r="R235" t="str">
        <f t="shared" si="13"/>
        <v>00:00:00- 00:00:00-</v>
      </c>
    </row>
    <row r="236" spans="1:18" ht="24" customHeight="1">
      <c r="A236" s="23">
        <f t="shared" si="15"/>
        <v>235</v>
      </c>
      <c r="O236">
        <f t="shared" si="14"/>
        <v>492</v>
      </c>
      <c r="P236" t="str">
        <f t="shared" si="12"/>
        <v>00-Jan-00 -00:00:00- 00:00:00</v>
      </c>
      <c r="R236" t="str">
        <f t="shared" si="13"/>
        <v>00:00:00- 00:00:00-</v>
      </c>
    </row>
    <row r="237" spans="1:18" ht="24" customHeight="1">
      <c r="A237" s="23">
        <f t="shared" si="15"/>
        <v>236</v>
      </c>
      <c r="O237">
        <f t="shared" si="14"/>
        <v>492</v>
      </c>
      <c r="P237" t="str">
        <f t="shared" si="12"/>
        <v>00-Jan-00 -00:00:00- 00:00:00</v>
      </c>
      <c r="R237" t="str">
        <f t="shared" si="13"/>
        <v>00:00:00- 00:00:00-</v>
      </c>
    </row>
    <row r="238" spans="1:18" ht="24" customHeight="1">
      <c r="A238" s="23">
        <f t="shared" si="15"/>
        <v>237</v>
      </c>
      <c r="O238">
        <f t="shared" si="14"/>
        <v>492</v>
      </c>
      <c r="P238" t="str">
        <f t="shared" si="12"/>
        <v>00-Jan-00 -00:00:00- 00:00:00</v>
      </c>
      <c r="R238" t="str">
        <f t="shared" si="13"/>
        <v>00:00:00- 00:00:00-</v>
      </c>
    </row>
    <row r="239" spans="1:18" ht="24" customHeight="1">
      <c r="A239" s="23">
        <f t="shared" si="15"/>
        <v>238</v>
      </c>
      <c r="O239">
        <f t="shared" si="14"/>
        <v>492</v>
      </c>
      <c r="P239" t="str">
        <f t="shared" si="12"/>
        <v>00-Jan-00 -00:00:00- 00:00:00</v>
      </c>
      <c r="R239" t="str">
        <f t="shared" si="13"/>
        <v>00:00:00- 00:00:00-</v>
      </c>
    </row>
    <row r="240" spans="1:18" ht="24" customHeight="1">
      <c r="A240" s="23">
        <f t="shared" si="15"/>
        <v>239</v>
      </c>
      <c r="O240">
        <f t="shared" si="14"/>
        <v>492</v>
      </c>
      <c r="P240" t="str">
        <f t="shared" si="12"/>
        <v>00-Jan-00 -00:00:00- 00:00:00</v>
      </c>
      <c r="R240" t="str">
        <f t="shared" si="13"/>
        <v>00:00:00- 00:00:00-</v>
      </c>
    </row>
    <row r="241" spans="1:18" ht="24" customHeight="1">
      <c r="A241" s="23">
        <f t="shared" si="15"/>
        <v>240</v>
      </c>
      <c r="O241">
        <f t="shared" si="14"/>
        <v>492</v>
      </c>
      <c r="P241" t="str">
        <f t="shared" si="12"/>
        <v>00-Jan-00 -00:00:00- 00:00:00</v>
      </c>
      <c r="R241" t="str">
        <f t="shared" si="13"/>
        <v>00:00:00- 00:00:00-</v>
      </c>
    </row>
    <row r="242" spans="1:18" ht="24" customHeight="1">
      <c r="A242" s="23">
        <f t="shared" si="15"/>
        <v>241</v>
      </c>
      <c r="O242">
        <f t="shared" si="14"/>
        <v>492</v>
      </c>
      <c r="P242" t="str">
        <f t="shared" si="12"/>
        <v>00-Jan-00 -00:00:00- 00:00:00</v>
      </c>
      <c r="R242" t="str">
        <f t="shared" si="13"/>
        <v>00:00:00- 00:00:00-</v>
      </c>
    </row>
    <row r="243" spans="1:18" ht="24" customHeight="1">
      <c r="A243" s="23">
        <f t="shared" si="15"/>
        <v>242</v>
      </c>
      <c r="O243">
        <f t="shared" si="14"/>
        <v>492</v>
      </c>
      <c r="P243" t="str">
        <f t="shared" si="12"/>
        <v>00-Jan-00 -00:00:00- 00:00:00</v>
      </c>
      <c r="R243" t="str">
        <f t="shared" si="13"/>
        <v>00:00:00- 00:00:00-</v>
      </c>
    </row>
    <row r="244" spans="1:18" ht="24" customHeight="1">
      <c r="A244" s="23">
        <f t="shared" si="15"/>
        <v>243</v>
      </c>
      <c r="O244">
        <f t="shared" si="14"/>
        <v>492</v>
      </c>
      <c r="P244" t="str">
        <f t="shared" si="12"/>
        <v>00-Jan-00 -00:00:00- 00:00:00</v>
      </c>
      <c r="R244" t="str">
        <f t="shared" si="13"/>
        <v>00:00:00- 00:00:00-</v>
      </c>
    </row>
    <row r="245" spans="1:18" ht="24" customHeight="1">
      <c r="A245" s="23">
        <f t="shared" si="15"/>
        <v>244</v>
      </c>
      <c r="O245">
        <f t="shared" si="14"/>
        <v>492</v>
      </c>
      <c r="P245" t="str">
        <f t="shared" si="12"/>
        <v>00-Jan-00 -00:00:00- 00:00:00</v>
      </c>
      <c r="R245" t="str">
        <f t="shared" si="13"/>
        <v>00:00:00- 00:00:00-</v>
      </c>
    </row>
    <row r="246" spans="1:18" ht="24" customHeight="1">
      <c r="A246" s="23">
        <f t="shared" si="15"/>
        <v>245</v>
      </c>
      <c r="O246">
        <f t="shared" si="14"/>
        <v>492</v>
      </c>
      <c r="P246" t="str">
        <f t="shared" si="12"/>
        <v>00-Jan-00 -00:00:00- 00:00:00</v>
      </c>
      <c r="R246" t="str">
        <f t="shared" si="13"/>
        <v>00:00:00- 00:00:00-</v>
      </c>
    </row>
    <row r="247" spans="1:18" ht="24" customHeight="1">
      <c r="A247" s="23">
        <f t="shared" si="15"/>
        <v>246</v>
      </c>
      <c r="O247">
        <f t="shared" si="14"/>
        <v>492</v>
      </c>
      <c r="P247" t="str">
        <f t="shared" si="12"/>
        <v>00-Jan-00 -00:00:00- 00:00:00</v>
      </c>
      <c r="R247" t="str">
        <f t="shared" si="13"/>
        <v>00:00:00- 00:00:00-</v>
      </c>
    </row>
    <row r="248" spans="1:18" ht="24" customHeight="1">
      <c r="A248" s="23">
        <f t="shared" si="15"/>
        <v>247</v>
      </c>
      <c r="O248">
        <f t="shared" si="14"/>
        <v>492</v>
      </c>
      <c r="P248" t="str">
        <f t="shared" si="12"/>
        <v>00-Jan-00 -00:00:00- 00:00:00</v>
      </c>
      <c r="R248" t="str">
        <f t="shared" si="13"/>
        <v>00:00:00- 00:00:00-</v>
      </c>
    </row>
    <row r="249" spans="1:18" ht="24" customHeight="1">
      <c r="A249" s="23">
        <f t="shared" si="15"/>
        <v>248</v>
      </c>
      <c r="O249">
        <f t="shared" si="14"/>
        <v>492</v>
      </c>
      <c r="P249" t="str">
        <f t="shared" si="12"/>
        <v>00-Jan-00 -00:00:00- 00:00:00</v>
      </c>
      <c r="R249" t="str">
        <f t="shared" si="13"/>
        <v>00:00:00- 00:00:00-</v>
      </c>
    </row>
    <row r="250" spans="1:18" ht="24" customHeight="1">
      <c r="A250" s="23">
        <f t="shared" si="15"/>
        <v>249</v>
      </c>
      <c r="O250">
        <f t="shared" si="14"/>
        <v>492</v>
      </c>
      <c r="P250" t="str">
        <f t="shared" si="12"/>
        <v>00-Jan-00 -00:00:00- 00:00:00</v>
      </c>
      <c r="R250" t="str">
        <f t="shared" si="13"/>
        <v>00:00:00- 00:00:00-</v>
      </c>
    </row>
    <row r="251" spans="1:18" ht="24" customHeight="1">
      <c r="A251" s="23">
        <f t="shared" si="15"/>
        <v>250</v>
      </c>
      <c r="O251">
        <f t="shared" si="14"/>
        <v>492</v>
      </c>
      <c r="P251" t="str">
        <f t="shared" si="12"/>
        <v>00-Jan-00 -00:00:00- 00:00:00</v>
      </c>
      <c r="R251" t="str">
        <f t="shared" si="13"/>
        <v>00:00:00- 00:00:00-</v>
      </c>
    </row>
    <row r="252" spans="1:18" ht="24" customHeight="1">
      <c r="A252" s="23">
        <f t="shared" si="15"/>
        <v>251</v>
      </c>
      <c r="O252">
        <f t="shared" si="14"/>
        <v>492</v>
      </c>
      <c r="P252" t="str">
        <f t="shared" si="12"/>
        <v>00-Jan-00 -00:00:00- 00:00:00</v>
      </c>
      <c r="R252" t="str">
        <f t="shared" si="13"/>
        <v>00:00:00- 00:00:00-</v>
      </c>
    </row>
    <row r="253" spans="1:18" ht="24" customHeight="1">
      <c r="A253" s="23">
        <f t="shared" si="15"/>
        <v>252</v>
      </c>
      <c r="O253">
        <f t="shared" si="14"/>
        <v>492</v>
      </c>
      <c r="P253" t="str">
        <f t="shared" si="12"/>
        <v>00-Jan-00 -00:00:00- 00:00:00</v>
      </c>
      <c r="R253" t="str">
        <f t="shared" si="13"/>
        <v>00:00:00- 00:00:00-</v>
      </c>
    </row>
    <row r="254" spans="1:18" ht="24" customHeight="1">
      <c r="A254" s="23">
        <f t="shared" si="15"/>
        <v>253</v>
      </c>
      <c r="O254">
        <f t="shared" si="14"/>
        <v>492</v>
      </c>
      <c r="P254" t="str">
        <f t="shared" si="12"/>
        <v>00-Jan-00 -00:00:00- 00:00:00</v>
      </c>
      <c r="R254" t="str">
        <f t="shared" si="13"/>
        <v>00:00:00- 00:00:00-</v>
      </c>
    </row>
    <row r="255" spans="1:18" ht="24" customHeight="1">
      <c r="A255" s="23">
        <f t="shared" si="15"/>
        <v>254</v>
      </c>
      <c r="O255">
        <f t="shared" si="14"/>
        <v>492</v>
      </c>
      <c r="P255" t="str">
        <f t="shared" si="12"/>
        <v>00-Jan-00 -00:00:00- 00:00:00</v>
      </c>
      <c r="R255" t="str">
        <f t="shared" si="13"/>
        <v>00:00:00- 00:00:00-</v>
      </c>
    </row>
    <row r="256" spans="1:18" ht="24" customHeight="1">
      <c r="A256" s="23">
        <f t="shared" si="15"/>
        <v>255</v>
      </c>
      <c r="O256">
        <f t="shared" si="14"/>
        <v>492</v>
      </c>
      <c r="P256" t="str">
        <f t="shared" ref="P256:P319" si="16">_xlfn.CONCAT(TEXT(DATE(YEAR(B256),MONTH(B256),DAY(B256)),"DD-MMM-YY")," ",G256,,"-",TEXT(TIME(HOUR(H256),MINUTE(H256),SECOND(H256)),"HH:MM:SS"),"- ",TEXT(TIME(HOUR(I256),MINUTE(I256),HOUR(I256)),"Hh:MM:SS"))</f>
        <v>00-Jan-00 -00:00:00- 00:00:00</v>
      </c>
      <c r="R256" t="str">
        <f t="shared" ref="R256:R319" si="17">(_xlfn.CONCAT(TEXT(TIME(HOUR(H256),MINUTE(H256),SECOND(H256)),"HH:MM:SS"),"- ",TEXT(TIME(HOUR(I256),MINUTE(I256),HOUR(I256)),"Hh:MM:SS"),"-",G256))</f>
        <v>00:00:00- 00:00:00-</v>
      </c>
    </row>
    <row r="257" spans="1:18" ht="24" customHeight="1">
      <c r="A257" s="23">
        <f t="shared" si="15"/>
        <v>256</v>
      </c>
      <c r="O257">
        <f t="shared" si="14"/>
        <v>492</v>
      </c>
      <c r="P257" t="str">
        <f t="shared" si="16"/>
        <v>00-Jan-00 -00:00:00- 00:00:00</v>
      </c>
      <c r="R257" t="str">
        <f t="shared" si="17"/>
        <v>00:00:00- 00:00:00-</v>
      </c>
    </row>
    <row r="258" spans="1:18" ht="24" customHeight="1">
      <c r="A258" s="23">
        <f t="shared" si="15"/>
        <v>257</v>
      </c>
      <c r="O258">
        <f t="shared" ref="O258:O321" si="18">COUNTIF($P$2:$P$1048576,P258)</f>
        <v>492</v>
      </c>
      <c r="P258" t="str">
        <f t="shared" si="16"/>
        <v>00-Jan-00 -00:00:00- 00:00:00</v>
      </c>
      <c r="R258" t="str">
        <f t="shared" si="17"/>
        <v>00:00:00- 00:00:00-</v>
      </c>
    </row>
    <row r="259" spans="1:18" ht="24" customHeight="1">
      <c r="A259" s="23">
        <f t="shared" ref="A259:A322" si="19">A258+1</f>
        <v>258</v>
      </c>
      <c r="O259">
        <f t="shared" si="18"/>
        <v>492</v>
      </c>
      <c r="P259" t="str">
        <f t="shared" si="16"/>
        <v>00-Jan-00 -00:00:00- 00:00:00</v>
      </c>
      <c r="R259" t="str">
        <f t="shared" si="17"/>
        <v>00:00:00- 00:00:00-</v>
      </c>
    </row>
    <row r="260" spans="1:18" ht="24" customHeight="1">
      <c r="A260" s="23">
        <f t="shared" si="19"/>
        <v>259</v>
      </c>
      <c r="O260">
        <f t="shared" si="18"/>
        <v>492</v>
      </c>
      <c r="P260" t="str">
        <f t="shared" si="16"/>
        <v>00-Jan-00 -00:00:00- 00:00:00</v>
      </c>
      <c r="R260" t="str">
        <f t="shared" si="17"/>
        <v>00:00:00- 00:00:00-</v>
      </c>
    </row>
    <row r="261" spans="1:18" ht="24" customHeight="1">
      <c r="A261" s="23">
        <f t="shared" si="19"/>
        <v>260</v>
      </c>
      <c r="O261">
        <f t="shared" si="18"/>
        <v>492</v>
      </c>
      <c r="P261" t="str">
        <f t="shared" si="16"/>
        <v>00-Jan-00 -00:00:00- 00:00:00</v>
      </c>
      <c r="R261" t="str">
        <f t="shared" si="17"/>
        <v>00:00:00- 00:00:00-</v>
      </c>
    </row>
    <row r="262" spans="1:18" ht="24" customHeight="1">
      <c r="A262" s="23">
        <f t="shared" si="19"/>
        <v>261</v>
      </c>
      <c r="O262">
        <f t="shared" si="18"/>
        <v>492</v>
      </c>
      <c r="P262" t="str">
        <f t="shared" si="16"/>
        <v>00-Jan-00 -00:00:00- 00:00:00</v>
      </c>
      <c r="R262" t="str">
        <f t="shared" si="17"/>
        <v>00:00:00- 00:00:00-</v>
      </c>
    </row>
    <row r="263" spans="1:18" ht="24" customHeight="1">
      <c r="A263" s="23">
        <f t="shared" si="19"/>
        <v>262</v>
      </c>
      <c r="O263">
        <f t="shared" si="18"/>
        <v>492</v>
      </c>
      <c r="P263" t="str">
        <f t="shared" si="16"/>
        <v>00-Jan-00 -00:00:00- 00:00:00</v>
      </c>
      <c r="R263" t="str">
        <f t="shared" si="17"/>
        <v>00:00:00- 00:00:00-</v>
      </c>
    </row>
    <row r="264" spans="1:18" ht="24" customHeight="1">
      <c r="A264" s="23">
        <f t="shared" si="19"/>
        <v>263</v>
      </c>
      <c r="O264">
        <f t="shared" si="18"/>
        <v>492</v>
      </c>
      <c r="P264" t="str">
        <f t="shared" si="16"/>
        <v>00-Jan-00 -00:00:00- 00:00:00</v>
      </c>
      <c r="R264" t="str">
        <f t="shared" si="17"/>
        <v>00:00:00- 00:00:00-</v>
      </c>
    </row>
    <row r="265" spans="1:18" ht="24" customHeight="1">
      <c r="A265" s="23">
        <f t="shared" si="19"/>
        <v>264</v>
      </c>
      <c r="O265">
        <f t="shared" si="18"/>
        <v>492</v>
      </c>
      <c r="P265" t="str">
        <f t="shared" si="16"/>
        <v>00-Jan-00 -00:00:00- 00:00:00</v>
      </c>
      <c r="R265" t="str">
        <f t="shared" si="17"/>
        <v>00:00:00- 00:00:00-</v>
      </c>
    </row>
    <row r="266" spans="1:18" ht="24" customHeight="1">
      <c r="A266" s="23">
        <f t="shared" si="19"/>
        <v>265</v>
      </c>
      <c r="O266">
        <f t="shared" si="18"/>
        <v>492</v>
      </c>
      <c r="P266" t="str">
        <f t="shared" si="16"/>
        <v>00-Jan-00 -00:00:00- 00:00:00</v>
      </c>
      <c r="R266" t="str">
        <f t="shared" si="17"/>
        <v>00:00:00- 00:00:00-</v>
      </c>
    </row>
    <row r="267" spans="1:18" ht="24" customHeight="1">
      <c r="A267" s="23">
        <f t="shared" si="19"/>
        <v>266</v>
      </c>
      <c r="O267">
        <f t="shared" si="18"/>
        <v>492</v>
      </c>
      <c r="P267" t="str">
        <f t="shared" si="16"/>
        <v>00-Jan-00 -00:00:00- 00:00:00</v>
      </c>
      <c r="R267" t="str">
        <f t="shared" si="17"/>
        <v>00:00:00- 00:00:00-</v>
      </c>
    </row>
    <row r="268" spans="1:18" ht="24" customHeight="1">
      <c r="A268" s="23">
        <f t="shared" si="19"/>
        <v>267</v>
      </c>
      <c r="O268">
        <f t="shared" si="18"/>
        <v>492</v>
      </c>
      <c r="P268" t="str">
        <f t="shared" si="16"/>
        <v>00-Jan-00 -00:00:00- 00:00:00</v>
      </c>
      <c r="R268" t="str">
        <f t="shared" si="17"/>
        <v>00:00:00- 00:00:00-</v>
      </c>
    </row>
    <row r="269" spans="1:18" ht="24" customHeight="1">
      <c r="A269" s="23">
        <f t="shared" si="19"/>
        <v>268</v>
      </c>
      <c r="O269">
        <f t="shared" si="18"/>
        <v>492</v>
      </c>
      <c r="P269" t="str">
        <f t="shared" si="16"/>
        <v>00-Jan-00 -00:00:00- 00:00:00</v>
      </c>
      <c r="R269" t="str">
        <f t="shared" si="17"/>
        <v>00:00:00- 00:00:00-</v>
      </c>
    </row>
    <row r="270" spans="1:18" ht="24" customHeight="1">
      <c r="A270" s="23">
        <f t="shared" si="19"/>
        <v>269</v>
      </c>
      <c r="O270">
        <f t="shared" si="18"/>
        <v>492</v>
      </c>
      <c r="P270" t="str">
        <f t="shared" si="16"/>
        <v>00-Jan-00 -00:00:00- 00:00:00</v>
      </c>
      <c r="R270" t="str">
        <f t="shared" si="17"/>
        <v>00:00:00- 00:00:00-</v>
      </c>
    </row>
    <row r="271" spans="1:18" ht="24" customHeight="1">
      <c r="A271" s="23">
        <f t="shared" si="19"/>
        <v>270</v>
      </c>
      <c r="O271">
        <f t="shared" si="18"/>
        <v>492</v>
      </c>
      <c r="P271" t="str">
        <f t="shared" si="16"/>
        <v>00-Jan-00 -00:00:00- 00:00:00</v>
      </c>
      <c r="R271" t="str">
        <f t="shared" si="17"/>
        <v>00:00:00- 00:00:00-</v>
      </c>
    </row>
    <row r="272" spans="1:18" ht="24" customHeight="1">
      <c r="A272" s="23">
        <f t="shared" si="19"/>
        <v>271</v>
      </c>
      <c r="O272">
        <f t="shared" si="18"/>
        <v>492</v>
      </c>
      <c r="P272" t="str">
        <f t="shared" si="16"/>
        <v>00-Jan-00 -00:00:00- 00:00:00</v>
      </c>
      <c r="R272" t="str">
        <f t="shared" si="17"/>
        <v>00:00:00- 00:00:00-</v>
      </c>
    </row>
    <row r="273" spans="1:18" ht="24" customHeight="1">
      <c r="A273" s="23">
        <f t="shared" si="19"/>
        <v>272</v>
      </c>
      <c r="O273">
        <f t="shared" si="18"/>
        <v>492</v>
      </c>
      <c r="P273" t="str">
        <f t="shared" si="16"/>
        <v>00-Jan-00 -00:00:00- 00:00:00</v>
      </c>
      <c r="R273" t="str">
        <f t="shared" si="17"/>
        <v>00:00:00- 00:00:00-</v>
      </c>
    </row>
    <row r="274" spans="1:18" ht="24" customHeight="1">
      <c r="A274" s="23">
        <f t="shared" si="19"/>
        <v>273</v>
      </c>
      <c r="O274">
        <f t="shared" si="18"/>
        <v>492</v>
      </c>
      <c r="P274" t="str">
        <f t="shared" si="16"/>
        <v>00-Jan-00 -00:00:00- 00:00:00</v>
      </c>
      <c r="R274" t="str">
        <f t="shared" si="17"/>
        <v>00:00:00- 00:00:00-</v>
      </c>
    </row>
    <row r="275" spans="1:18" ht="24" customHeight="1">
      <c r="A275" s="23">
        <f t="shared" si="19"/>
        <v>274</v>
      </c>
      <c r="O275">
        <f t="shared" si="18"/>
        <v>492</v>
      </c>
      <c r="P275" t="str">
        <f t="shared" si="16"/>
        <v>00-Jan-00 -00:00:00- 00:00:00</v>
      </c>
      <c r="R275" t="str">
        <f t="shared" si="17"/>
        <v>00:00:00- 00:00:00-</v>
      </c>
    </row>
    <row r="276" spans="1:18" ht="24" customHeight="1">
      <c r="A276" s="23">
        <f t="shared" si="19"/>
        <v>275</v>
      </c>
      <c r="O276">
        <f t="shared" si="18"/>
        <v>492</v>
      </c>
      <c r="P276" t="str">
        <f t="shared" si="16"/>
        <v>00-Jan-00 -00:00:00- 00:00:00</v>
      </c>
      <c r="R276" t="str">
        <f t="shared" si="17"/>
        <v>00:00:00- 00:00:00-</v>
      </c>
    </row>
    <row r="277" spans="1:18" ht="24" customHeight="1">
      <c r="A277" s="23">
        <f t="shared" si="19"/>
        <v>276</v>
      </c>
      <c r="O277">
        <f t="shared" si="18"/>
        <v>492</v>
      </c>
      <c r="P277" t="str">
        <f t="shared" si="16"/>
        <v>00-Jan-00 -00:00:00- 00:00:00</v>
      </c>
      <c r="R277" t="str">
        <f t="shared" si="17"/>
        <v>00:00:00- 00:00:00-</v>
      </c>
    </row>
    <row r="278" spans="1:18" ht="24" customHeight="1">
      <c r="A278" s="23">
        <f t="shared" si="19"/>
        <v>277</v>
      </c>
      <c r="O278">
        <f t="shared" si="18"/>
        <v>492</v>
      </c>
      <c r="P278" t="str">
        <f t="shared" si="16"/>
        <v>00-Jan-00 -00:00:00- 00:00:00</v>
      </c>
      <c r="R278" t="str">
        <f t="shared" si="17"/>
        <v>00:00:00- 00:00:00-</v>
      </c>
    </row>
    <row r="279" spans="1:18" ht="24" customHeight="1">
      <c r="A279" s="23">
        <f t="shared" si="19"/>
        <v>278</v>
      </c>
      <c r="O279">
        <f t="shared" si="18"/>
        <v>492</v>
      </c>
      <c r="P279" t="str">
        <f t="shared" si="16"/>
        <v>00-Jan-00 -00:00:00- 00:00:00</v>
      </c>
      <c r="R279" t="str">
        <f t="shared" si="17"/>
        <v>00:00:00- 00:00:00-</v>
      </c>
    </row>
    <row r="280" spans="1:18" ht="24" customHeight="1">
      <c r="A280" s="23">
        <f t="shared" si="19"/>
        <v>279</v>
      </c>
      <c r="O280">
        <f t="shared" si="18"/>
        <v>492</v>
      </c>
      <c r="P280" t="str">
        <f t="shared" si="16"/>
        <v>00-Jan-00 -00:00:00- 00:00:00</v>
      </c>
      <c r="R280" t="str">
        <f t="shared" si="17"/>
        <v>00:00:00- 00:00:00-</v>
      </c>
    </row>
    <row r="281" spans="1:18" ht="24" customHeight="1">
      <c r="A281" s="23">
        <f t="shared" si="19"/>
        <v>280</v>
      </c>
      <c r="O281">
        <f t="shared" si="18"/>
        <v>492</v>
      </c>
      <c r="P281" t="str">
        <f t="shared" si="16"/>
        <v>00-Jan-00 -00:00:00- 00:00:00</v>
      </c>
      <c r="R281" t="str">
        <f t="shared" si="17"/>
        <v>00:00:00- 00:00:00-</v>
      </c>
    </row>
    <row r="282" spans="1:18" ht="24" customHeight="1">
      <c r="A282" s="23">
        <f t="shared" si="19"/>
        <v>281</v>
      </c>
      <c r="O282">
        <f t="shared" si="18"/>
        <v>492</v>
      </c>
      <c r="P282" t="str">
        <f t="shared" si="16"/>
        <v>00-Jan-00 -00:00:00- 00:00:00</v>
      </c>
      <c r="R282" t="str">
        <f t="shared" si="17"/>
        <v>00:00:00- 00:00:00-</v>
      </c>
    </row>
    <row r="283" spans="1:18" ht="24" customHeight="1">
      <c r="A283" s="23">
        <f t="shared" si="19"/>
        <v>282</v>
      </c>
      <c r="O283">
        <f t="shared" si="18"/>
        <v>492</v>
      </c>
      <c r="P283" t="str">
        <f t="shared" si="16"/>
        <v>00-Jan-00 -00:00:00- 00:00:00</v>
      </c>
      <c r="R283" t="str">
        <f t="shared" si="17"/>
        <v>00:00:00- 00:00:00-</v>
      </c>
    </row>
    <row r="284" spans="1:18" ht="24" customHeight="1">
      <c r="A284" s="23">
        <f t="shared" si="19"/>
        <v>283</v>
      </c>
      <c r="O284">
        <f t="shared" si="18"/>
        <v>492</v>
      </c>
      <c r="P284" t="str">
        <f t="shared" si="16"/>
        <v>00-Jan-00 -00:00:00- 00:00:00</v>
      </c>
      <c r="R284" t="str">
        <f t="shared" si="17"/>
        <v>00:00:00- 00:00:00-</v>
      </c>
    </row>
    <row r="285" spans="1:18" ht="24" customHeight="1">
      <c r="A285" s="23">
        <f t="shared" si="19"/>
        <v>284</v>
      </c>
      <c r="O285">
        <f t="shared" si="18"/>
        <v>492</v>
      </c>
      <c r="P285" t="str">
        <f t="shared" si="16"/>
        <v>00-Jan-00 -00:00:00- 00:00:00</v>
      </c>
      <c r="R285" t="str">
        <f t="shared" si="17"/>
        <v>00:00:00- 00:00:00-</v>
      </c>
    </row>
    <row r="286" spans="1:18" ht="24" customHeight="1">
      <c r="A286" s="23">
        <f t="shared" si="19"/>
        <v>285</v>
      </c>
      <c r="O286">
        <f t="shared" si="18"/>
        <v>492</v>
      </c>
      <c r="P286" t="str">
        <f t="shared" si="16"/>
        <v>00-Jan-00 -00:00:00- 00:00:00</v>
      </c>
      <c r="R286" t="str">
        <f t="shared" si="17"/>
        <v>00:00:00- 00:00:00-</v>
      </c>
    </row>
    <row r="287" spans="1:18" ht="24" customHeight="1">
      <c r="A287" s="23">
        <f t="shared" si="19"/>
        <v>286</v>
      </c>
      <c r="O287">
        <f t="shared" si="18"/>
        <v>492</v>
      </c>
      <c r="P287" t="str">
        <f t="shared" si="16"/>
        <v>00-Jan-00 -00:00:00- 00:00:00</v>
      </c>
      <c r="R287" t="str">
        <f t="shared" si="17"/>
        <v>00:00:00- 00:00:00-</v>
      </c>
    </row>
    <row r="288" spans="1:18" ht="24" customHeight="1">
      <c r="A288" s="23">
        <f t="shared" si="19"/>
        <v>287</v>
      </c>
      <c r="O288">
        <f t="shared" si="18"/>
        <v>492</v>
      </c>
      <c r="P288" t="str">
        <f t="shared" si="16"/>
        <v>00-Jan-00 -00:00:00- 00:00:00</v>
      </c>
      <c r="R288" t="str">
        <f t="shared" si="17"/>
        <v>00:00:00- 00:00:00-</v>
      </c>
    </row>
    <row r="289" spans="1:18" ht="24" customHeight="1">
      <c r="A289" s="23">
        <f t="shared" si="19"/>
        <v>288</v>
      </c>
      <c r="O289">
        <f t="shared" si="18"/>
        <v>492</v>
      </c>
      <c r="P289" t="str">
        <f t="shared" si="16"/>
        <v>00-Jan-00 -00:00:00- 00:00:00</v>
      </c>
      <c r="R289" t="str">
        <f t="shared" si="17"/>
        <v>00:00:00- 00:00:00-</v>
      </c>
    </row>
    <row r="290" spans="1:18" ht="24" customHeight="1">
      <c r="A290" s="23">
        <f t="shared" si="19"/>
        <v>289</v>
      </c>
      <c r="O290">
        <f t="shared" si="18"/>
        <v>492</v>
      </c>
      <c r="P290" t="str">
        <f t="shared" si="16"/>
        <v>00-Jan-00 -00:00:00- 00:00:00</v>
      </c>
      <c r="R290" t="str">
        <f t="shared" si="17"/>
        <v>00:00:00- 00:00:00-</v>
      </c>
    </row>
    <row r="291" spans="1:18" ht="24" customHeight="1">
      <c r="A291" s="23">
        <f t="shared" si="19"/>
        <v>290</v>
      </c>
      <c r="O291">
        <f t="shared" si="18"/>
        <v>492</v>
      </c>
      <c r="P291" t="str">
        <f t="shared" si="16"/>
        <v>00-Jan-00 -00:00:00- 00:00:00</v>
      </c>
      <c r="R291" t="str">
        <f t="shared" si="17"/>
        <v>00:00:00- 00:00:00-</v>
      </c>
    </row>
    <row r="292" spans="1:18" ht="24" customHeight="1">
      <c r="A292" s="23">
        <f t="shared" si="19"/>
        <v>291</v>
      </c>
      <c r="O292">
        <f t="shared" si="18"/>
        <v>492</v>
      </c>
      <c r="P292" t="str">
        <f t="shared" si="16"/>
        <v>00-Jan-00 -00:00:00- 00:00:00</v>
      </c>
      <c r="R292" t="str">
        <f t="shared" si="17"/>
        <v>00:00:00- 00:00:00-</v>
      </c>
    </row>
    <row r="293" spans="1:18" ht="24" customHeight="1">
      <c r="A293" s="23">
        <f t="shared" si="19"/>
        <v>292</v>
      </c>
      <c r="O293">
        <f t="shared" si="18"/>
        <v>492</v>
      </c>
      <c r="P293" t="str">
        <f t="shared" si="16"/>
        <v>00-Jan-00 -00:00:00- 00:00:00</v>
      </c>
      <c r="R293" t="str">
        <f t="shared" si="17"/>
        <v>00:00:00- 00:00:00-</v>
      </c>
    </row>
    <row r="294" spans="1:18" ht="24" customHeight="1">
      <c r="A294" s="23">
        <f t="shared" si="19"/>
        <v>293</v>
      </c>
      <c r="O294">
        <f t="shared" si="18"/>
        <v>492</v>
      </c>
      <c r="P294" t="str">
        <f t="shared" si="16"/>
        <v>00-Jan-00 -00:00:00- 00:00:00</v>
      </c>
      <c r="R294" t="str">
        <f t="shared" si="17"/>
        <v>00:00:00- 00:00:00-</v>
      </c>
    </row>
    <row r="295" spans="1:18" ht="24" customHeight="1">
      <c r="A295" s="23">
        <f t="shared" si="19"/>
        <v>294</v>
      </c>
      <c r="O295">
        <f t="shared" si="18"/>
        <v>492</v>
      </c>
      <c r="P295" t="str">
        <f t="shared" si="16"/>
        <v>00-Jan-00 -00:00:00- 00:00:00</v>
      </c>
      <c r="R295" t="str">
        <f t="shared" si="17"/>
        <v>00:00:00- 00:00:00-</v>
      </c>
    </row>
    <row r="296" spans="1:18" ht="24" customHeight="1">
      <c r="A296" s="23">
        <f t="shared" si="19"/>
        <v>295</v>
      </c>
      <c r="O296">
        <f t="shared" si="18"/>
        <v>492</v>
      </c>
      <c r="P296" t="str">
        <f t="shared" si="16"/>
        <v>00-Jan-00 -00:00:00- 00:00:00</v>
      </c>
      <c r="R296" t="str">
        <f t="shared" si="17"/>
        <v>00:00:00- 00:00:00-</v>
      </c>
    </row>
    <row r="297" spans="1:18" ht="24" customHeight="1">
      <c r="A297" s="23">
        <f t="shared" si="19"/>
        <v>296</v>
      </c>
      <c r="O297">
        <f t="shared" si="18"/>
        <v>492</v>
      </c>
      <c r="P297" t="str">
        <f t="shared" si="16"/>
        <v>00-Jan-00 -00:00:00- 00:00:00</v>
      </c>
      <c r="R297" t="str">
        <f t="shared" si="17"/>
        <v>00:00:00- 00:00:00-</v>
      </c>
    </row>
    <row r="298" spans="1:18" ht="24" customHeight="1">
      <c r="A298" s="23">
        <f t="shared" si="19"/>
        <v>297</v>
      </c>
      <c r="O298">
        <f t="shared" si="18"/>
        <v>492</v>
      </c>
      <c r="P298" t="str">
        <f t="shared" si="16"/>
        <v>00-Jan-00 -00:00:00- 00:00:00</v>
      </c>
      <c r="R298" t="str">
        <f t="shared" si="17"/>
        <v>00:00:00- 00:00:00-</v>
      </c>
    </row>
    <row r="299" spans="1:18" ht="24" customHeight="1">
      <c r="A299" s="23">
        <f t="shared" si="19"/>
        <v>298</v>
      </c>
      <c r="O299">
        <f t="shared" si="18"/>
        <v>492</v>
      </c>
      <c r="P299" t="str">
        <f t="shared" si="16"/>
        <v>00-Jan-00 -00:00:00- 00:00:00</v>
      </c>
      <c r="R299" t="str">
        <f t="shared" si="17"/>
        <v>00:00:00- 00:00:00-</v>
      </c>
    </row>
    <row r="300" spans="1:18" ht="24" customHeight="1">
      <c r="A300" s="23">
        <f t="shared" si="19"/>
        <v>299</v>
      </c>
      <c r="O300">
        <f t="shared" si="18"/>
        <v>492</v>
      </c>
      <c r="P300" t="str">
        <f t="shared" si="16"/>
        <v>00-Jan-00 -00:00:00- 00:00:00</v>
      </c>
      <c r="R300" t="str">
        <f t="shared" si="17"/>
        <v>00:00:00- 00:00:00-</v>
      </c>
    </row>
    <row r="301" spans="1:18" ht="24" customHeight="1">
      <c r="A301" s="23">
        <f t="shared" si="19"/>
        <v>300</v>
      </c>
      <c r="O301">
        <f t="shared" si="18"/>
        <v>492</v>
      </c>
      <c r="P301" t="str">
        <f t="shared" si="16"/>
        <v>00-Jan-00 -00:00:00- 00:00:00</v>
      </c>
      <c r="R301" t="str">
        <f t="shared" si="17"/>
        <v>00:00:00- 00:00:00-</v>
      </c>
    </row>
    <row r="302" spans="1:18" ht="24" customHeight="1">
      <c r="A302" s="23">
        <f t="shared" si="19"/>
        <v>301</v>
      </c>
      <c r="O302">
        <f t="shared" si="18"/>
        <v>492</v>
      </c>
      <c r="P302" t="str">
        <f t="shared" si="16"/>
        <v>00-Jan-00 -00:00:00- 00:00:00</v>
      </c>
      <c r="R302" t="str">
        <f t="shared" si="17"/>
        <v>00:00:00- 00:00:00-</v>
      </c>
    </row>
    <row r="303" spans="1:18" ht="24" customHeight="1">
      <c r="A303" s="23">
        <f t="shared" si="19"/>
        <v>302</v>
      </c>
      <c r="O303">
        <f t="shared" si="18"/>
        <v>492</v>
      </c>
      <c r="P303" t="str">
        <f t="shared" si="16"/>
        <v>00-Jan-00 -00:00:00- 00:00:00</v>
      </c>
      <c r="R303" t="str">
        <f t="shared" si="17"/>
        <v>00:00:00- 00:00:00-</v>
      </c>
    </row>
    <row r="304" spans="1:18" ht="24" customHeight="1">
      <c r="A304" s="23">
        <f t="shared" si="19"/>
        <v>303</v>
      </c>
      <c r="O304">
        <f t="shared" si="18"/>
        <v>492</v>
      </c>
      <c r="P304" t="str">
        <f t="shared" si="16"/>
        <v>00-Jan-00 -00:00:00- 00:00:00</v>
      </c>
      <c r="R304" t="str">
        <f t="shared" si="17"/>
        <v>00:00:00- 00:00:00-</v>
      </c>
    </row>
    <row r="305" spans="1:18" ht="24" customHeight="1">
      <c r="A305" s="23">
        <f t="shared" si="19"/>
        <v>304</v>
      </c>
      <c r="O305">
        <f t="shared" si="18"/>
        <v>492</v>
      </c>
      <c r="P305" t="str">
        <f t="shared" si="16"/>
        <v>00-Jan-00 -00:00:00- 00:00:00</v>
      </c>
      <c r="R305" t="str">
        <f t="shared" si="17"/>
        <v>00:00:00- 00:00:00-</v>
      </c>
    </row>
    <row r="306" spans="1:18" ht="24" customHeight="1">
      <c r="A306" s="23">
        <f t="shared" si="19"/>
        <v>305</v>
      </c>
      <c r="O306">
        <f t="shared" si="18"/>
        <v>492</v>
      </c>
      <c r="P306" t="str">
        <f t="shared" si="16"/>
        <v>00-Jan-00 -00:00:00- 00:00:00</v>
      </c>
      <c r="R306" t="str">
        <f t="shared" si="17"/>
        <v>00:00:00- 00:00:00-</v>
      </c>
    </row>
    <row r="307" spans="1:18" ht="24" customHeight="1">
      <c r="A307" s="23">
        <f t="shared" si="19"/>
        <v>306</v>
      </c>
      <c r="O307">
        <f t="shared" si="18"/>
        <v>492</v>
      </c>
      <c r="P307" t="str">
        <f t="shared" si="16"/>
        <v>00-Jan-00 -00:00:00- 00:00:00</v>
      </c>
      <c r="R307" t="str">
        <f t="shared" si="17"/>
        <v>00:00:00- 00:00:00-</v>
      </c>
    </row>
    <row r="308" spans="1:18" ht="24" customHeight="1">
      <c r="A308" s="23">
        <f t="shared" si="19"/>
        <v>307</v>
      </c>
      <c r="O308">
        <f t="shared" si="18"/>
        <v>492</v>
      </c>
      <c r="P308" t="str">
        <f t="shared" si="16"/>
        <v>00-Jan-00 -00:00:00- 00:00:00</v>
      </c>
      <c r="R308" t="str">
        <f t="shared" si="17"/>
        <v>00:00:00- 00:00:00-</v>
      </c>
    </row>
    <row r="309" spans="1:18" ht="24" customHeight="1">
      <c r="A309" s="23">
        <f t="shared" si="19"/>
        <v>308</v>
      </c>
      <c r="O309">
        <f t="shared" si="18"/>
        <v>492</v>
      </c>
      <c r="P309" t="str">
        <f t="shared" si="16"/>
        <v>00-Jan-00 -00:00:00- 00:00:00</v>
      </c>
      <c r="R309" t="str">
        <f t="shared" si="17"/>
        <v>00:00:00- 00:00:00-</v>
      </c>
    </row>
    <row r="310" spans="1:18" ht="24" customHeight="1">
      <c r="A310" s="23">
        <f t="shared" si="19"/>
        <v>309</v>
      </c>
      <c r="O310">
        <f t="shared" si="18"/>
        <v>492</v>
      </c>
      <c r="P310" t="str">
        <f t="shared" si="16"/>
        <v>00-Jan-00 -00:00:00- 00:00:00</v>
      </c>
      <c r="R310" t="str">
        <f t="shared" si="17"/>
        <v>00:00:00- 00:00:00-</v>
      </c>
    </row>
    <row r="311" spans="1:18" ht="24" customHeight="1">
      <c r="A311" s="23">
        <f t="shared" si="19"/>
        <v>310</v>
      </c>
      <c r="O311">
        <f t="shared" si="18"/>
        <v>492</v>
      </c>
      <c r="P311" t="str">
        <f t="shared" si="16"/>
        <v>00-Jan-00 -00:00:00- 00:00:00</v>
      </c>
      <c r="R311" t="str">
        <f t="shared" si="17"/>
        <v>00:00:00- 00:00:00-</v>
      </c>
    </row>
    <row r="312" spans="1:18" ht="24" customHeight="1">
      <c r="A312" s="23">
        <f t="shared" si="19"/>
        <v>311</v>
      </c>
      <c r="O312">
        <f t="shared" si="18"/>
        <v>492</v>
      </c>
      <c r="P312" t="str">
        <f t="shared" si="16"/>
        <v>00-Jan-00 -00:00:00- 00:00:00</v>
      </c>
      <c r="R312" t="str">
        <f t="shared" si="17"/>
        <v>00:00:00- 00:00:00-</v>
      </c>
    </row>
    <row r="313" spans="1:18" ht="24" customHeight="1">
      <c r="A313" s="23">
        <f t="shared" si="19"/>
        <v>312</v>
      </c>
      <c r="O313">
        <f t="shared" si="18"/>
        <v>492</v>
      </c>
      <c r="P313" t="str">
        <f t="shared" si="16"/>
        <v>00-Jan-00 -00:00:00- 00:00:00</v>
      </c>
      <c r="R313" t="str">
        <f t="shared" si="17"/>
        <v>00:00:00- 00:00:00-</v>
      </c>
    </row>
    <row r="314" spans="1:18" ht="24" customHeight="1">
      <c r="A314" s="23">
        <f t="shared" si="19"/>
        <v>313</v>
      </c>
      <c r="O314">
        <f t="shared" si="18"/>
        <v>492</v>
      </c>
      <c r="P314" t="str">
        <f t="shared" si="16"/>
        <v>00-Jan-00 -00:00:00- 00:00:00</v>
      </c>
      <c r="R314" t="str">
        <f t="shared" si="17"/>
        <v>00:00:00- 00:00:00-</v>
      </c>
    </row>
    <row r="315" spans="1:18" ht="24" customHeight="1">
      <c r="A315" s="23">
        <f t="shared" si="19"/>
        <v>314</v>
      </c>
      <c r="O315">
        <f t="shared" si="18"/>
        <v>492</v>
      </c>
      <c r="P315" t="str">
        <f t="shared" si="16"/>
        <v>00-Jan-00 -00:00:00- 00:00:00</v>
      </c>
      <c r="R315" t="str">
        <f t="shared" si="17"/>
        <v>00:00:00- 00:00:00-</v>
      </c>
    </row>
    <row r="316" spans="1:18" ht="24" customHeight="1">
      <c r="A316" s="23">
        <f t="shared" si="19"/>
        <v>315</v>
      </c>
      <c r="O316">
        <f t="shared" si="18"/>
        <v>492</v>
      </c>
      <c r="P316" t="str">
        <f t="shared" si="16"/>
        <v>00-Jan-00 -00:00:00- 00:00:00</v>
      </c>
      <c r="R316" t="str">
        <f t="shared" si="17"/>
        <v>00:00:00- 00:00:00-</v>
      </c>
    </row>
    <row r="317" spans="1:18" ht="24" customHeight="1">
      <c r="A317" s="23">
        <f t="shared" si="19"/>
        <v>316</v>
      </c>
      <c r="O317">
        <f t="shared" si="18"/>
        <v>492</v>
      </c>
      <c r="P317" t="str">
        <f t="shared" si="16"/>
        <v>00-Jan-00 -00:00:00- 00:00:00</v>
      </c>
      <c r="R317" t="str">
        <f t="shared" si="17"/>
        <v>00:00:00- 00:00:00-</v>
      </c>
    </row>
    <row r="318" spans="1:18" ht="24" customHeight="1">
      <c r="A318" s="23">
        <f t="shared" si="19"/>
        <v>317</v>
      </c>
      <c r="O318">
        <f t="shared" si="18"/>
        <v>492</v>
      </c>
      <c r="P318" t="str">
        <f t="shared" si="16"/>
        <v>00-Jan-00 -00:00:00- 00:00:00</v>
      </c>
      <c r="R318" t="str">
        <f t="shared" si="17"/>
        <v>00:00:00- 00:00:00-</v>
      </c>
    </row>
    <row r="319" spans="1:18" ht="24" customHeight="1">
      <c r="A319" s="23">
        <f t="shared" si="19"/>
        <v>318</v>
      </c>
      <c r="O319">
        <f t="shared" si="18"/>
        <v>492</v>
      </c>
      <c r="P319" t="str">
        <f t="shared" si="16"/>
        <v>00-Jan-00 -00:00:00- 00:00:00</v>
      </c>
      <c r="R319" t="str">
        <f t="shared" si="17"/>
        <v>00:00:00- 00:00:00-</v>
      </c>
    </row>
    <row r="320" spans="1:18" ht="24" customHeight="1">
      <c r="A320" s="23">
        <f t="shared" si="19"/>
        <v>319</v>
      </c>
      <c r="O320">
        <f t="shared" si="18"/>
        <v>492</v>
      </c>
      <c r="P320" t="str">
        <f t="shared" ref="P320:P383" si="20">_xlfn.CONCAT(TEXT(DATE(YEAR(B320),MONTH(B320),DAY(B320)),"DD-MMM-YY")," ",G320,,"-",TEXT(TIME(HOUR(H320),MINUTE(H320),SECOND(H320)),"HH:MM:SS"),"- ",TEXT(TIME(HOUR(I320),MINUTE(I320),HOUR(I320)),"Hh:MM:SS"))</f>
        <v>00-Jan-00 -00:00:00- 00:00:00</v>
      </c>
      <c r="R320" t="str">
        <f t="shared" ref="R320:R383" si="21">(_xlfn.CONCAT(TEXT(TIME(HOUR(H320),MINUTE(H320),SECOND(H320)),"HH:MM:SS"),"- ",TEXT(TIME(HOUR(I320),MINUTE(I320),HOUR(I320)),"Hh:MM:SS"),"-",G320))</f>
        <v>00:00:00- 00:00:00-</v>
      </c>
    </row>
    <row r="321" spans="1:18" ht="24" customHeight="1">
      <c r="A321" s="23">
        <f t="shared" si="19"/>
        <v>320</v>
      </c>
      <c r="O321">
        <f t="shared" si="18"/>
        <v>492</v>
      </c>
      <c r="P321" t="str">
        <f t="shared" si="20"/>
        <v>00-Jan-00 -00:00:00- 00:00:00</v>
      </c>
      <c r="R321" t="str">
        <f t="shared" si="21"/>
        <v>00:00:00- 00:00:00-</v>
      </c>
    </row>
    <row r="322" spans="1:18" ht="24" customHeight="1">
      <c r="A322" s="23">
        <f t="shared" si="19"/>
        <v>321</v>
      </c>
      <c r="O322">
        <f t="shared" ref="O322:O385" si="22">COUNTIF($P$2:$P$1048576,P322)</f>
        <v>492</v>
      </c>
      <c r="P322" t="str">
        <f t="shared" si="20"/>
        <v>00-Jan-00 -00:00:00- 00:00:00</v>
      </c>
      <c r="R322" t="str">
        <f t="shared" si="21"/>
        <v>00:00:00- 00:00:00-</v>
      </c>
    </row>
    <row r="323" spans="1:18" ht="24" customHeight="1">
      <c r="A323" s="23">
        <f t="shared" ref="A323:A386" si="23">A322+1</f>
        <v>322</v>
      </c>
      <c r="O323">
        <f t="shared" si="22"/>
        <v>492</v>
      </c>
      <c r="P323" t="str">
        <f t="shared" si="20"/>
        <v>00-Jan-00 -00:00:00- 00:00:00</v>
      </c>
      <c r="R323" t="str">
        <f t="shared" si="21"/>
        <v>00:00:00- 00:00:00-</v>
      </c>
    </row>
    <row r="324" spans="1:18" ht="24" customHeight="1">
      <c r="A324" s="23">
        <f t="shared" si="23"/>
        <v>323</v>
      </c>
      <c r="O324">
        <f t="shared" si="22"/>
        <v>492</v>
      </c>
      <c r="P324" t="str">
        <f t="shared" si="20"/>
        <v>00-Jan-00 -00:00:00- 00:00:00</v>
      </c>
      <c r="R324" t="str">
        <f t="shared" si="21"/>
        <v>00:00:00- 00:00:00-</v>
      </c>
    </row>
    <row r="325" spans="1:18" ht="24" customHeight="1">
      <c r="A325" s="23">
        <f t="shared" si="23"/>
        <v>324</v>
      </c>
      <c r="O325">
        <f t="shared" si="22"/>
        <v>492</v>
      </c>
      <c r="P325" t="str">
        <f t="shared" si="20"/>
        <v>00-Jan-00 -00:00:00- 00:00:00</v>
      </c>
      <c r="R325" t="str">
        <f t="shared" si="21"/>
        <v>00:00:00- 00:00:00-</v>
      </c>
    </row>
    <row r="326" spans="1:18" ht="24" customHeight="1">
      <c r="A326" s="23">
        <f t="shared" si="23"/>
        <v>325</v>
      </c>
      <c r="O326">
        <f t="shared" si="22"/>
        <v>492</v>
      </c>
      <c r="P326" t="str">
        <f t="shared" si="20"/>
        <v>00-Jan-00 -00:00:00- 00:00:00</v>
      </c>
      <c r="R326" t="str">
        <f t="shared" si="21"/>
        <v>00:00:00- 00:00:00-</v>
      </c>
    </row>
    <row r="327" spans="1:18" ht="24" customHeight="1">
      <c r="A327" s="23">
        <f t="shared" si="23"/>
        <v>326</v>
      </c>
      <c r="O327">
        <f t="shared" si="22"/>
        <v>492</v>
      </c>
      <c r="P327" t="str">
        <f t="shared" si="20"/>
        <v>00-Jan-00 -00:00:00- 00:00:00</v>
      </c>
      <c r="R327" t="str">
        <f t="shared" si="21"/>
        <v>00:00:00- 00:00:00-</v>
      </c>
    </row>
    <row r="328" spans="1:18" ht="24" customHeight="1">
      <c r="A328" s="23">
        <f t="shared" si="23"/>
        <v>327</v>
      </c>
      <c r="O328">
        <f t="shared" si="22"/>
        <v>492</v>
      </c>
      <c r="P328" t="str">
        <f t="shared" si="20"/>
        <v>00-Jan-00 -00:00:00- 00:00:00</v>
      </c>
      <c r="R328" t="str">
        <f t="shared" si="21"/>
        <v>00:00:00- 00:00:00-</v>
      </c>
    </row>
    <row r="329" spans="1:18" ht="24" customHeight="1">
      <c r="A329" s="23">
        <f t="shared" si="23"/>
        <v>328</v>
      </c>
      <c r="O329">
        <f t="shared" si="22"/>
        <v>492</v>
      </c>
      <c r="P329" t="str">
        <f t="shared" si="20"/>
        <v>00-Jan-00 -00:00:00- 00:00:00</v>
      </c>
      <c r="R329" t="str">
        <f t="shared" si="21"/>
        <v>00:00:00- 00:00:00-</v>
      </c>
    </row>
    <row r="330" spans="1:18" ht="24" customHeight="1">
      <c r="A330" s="23">
        <f t="shared" si="23"/>
        <v>329</v>
      </c>
      <c r="O330">
        <f t="shared" si="22"/>
        <v>492</v>
      </c>
      <c r="P330" t="str">
        <f t="shared" si="20"/>
        <v>00-Jan-00 -00:00:00- 00:00:00</v>
      </c>
      <c r="R330" t="str">
        <f t="shared" si="21"/>
        <v>00:00:00- 00:00:00-</v>
      </c>
    </row>
    <row r="331" spans="1:18" ht="24" customHeight="1">
      <c r="A331" s="23">
        <f t="shared" si="23"/>
        <v>330</v>
      </c>
      <c r="O331">
        <f t="shared" si="22"/>
        <v>492</v>
      </c>
      <c r="P331" t="str">
        <f t="shared" si="20"/>
        <v>00-Jan-00 -00:00:00- 00:00:00</v>
      </c>
      <c r="R331" t="str">
        <f t="shared" si="21"/>
        <v>00:00:00- 00:00:00-</v>
      </c>
    </row>
    <row r="332" spans="1:18" ht="24" customHeight="1">
      <c r="A332" s="23">
        <f t="shared" si="23"/>
        <v>331</v>
      </c>
      <c r="O332">
        <f t="shared" si="22"/>
        <v>492</v>
      </c>
      <c r="P332" t="str">
        <f t="shared" si="20"/>
        <v>00-Jan-00 -00:00:00- 00:00:00</v>
      </c>
      <c r="R332" t="str">
        <f t="shared" si="21"/>
        <v>00:00:00- 00:00:00-</v>
      </c>
    </row>
    <row r="333" spans="1:18" ht="24" customHeight="1">
      <c r="A333" s="23">
        <f t="shared" si="23"/>
        <v>332</v>
      </c>
      <c r="O333">
        <f t="shared" si="22"/>
        <v>492</v>
      </c>
      <c r="P333" t="str">
        <f t="shared" si="20"/>
        <v>00-Jan-00 -00:00:00- 00:00:00</v>
      </c>
      <c r="R333" t="str">
        <f t="shared" si="21"/>
        <v>00:00:00- 00:00:00-</v>
      </c>
    </row>
    <row r="334" spans="1:18" ht="24" customHeight="1">
      <c r="A334" s="23">
        <f t="shared" si="23"/>
        <v>333</v>
      </c>
      <c r="O334">
        <f t="shared" si="22"/>
        <v>492</v>
      </c>
      <c r="P334" t="str">
        <f t="shared" si="20"/>
        <v>00-Jan-00 -00:00:00- 00:00:00</v>
      </c>
      <c r="R334" t="str">
        <f t="shared" si="21"/>
        <v>00:00:00- 00:00:00-</v>
      </c>
    </row>
    <row r="335" spans="1:18" ht="24" customHeight="1">
      <c r="A335" s="23">
        <f t="shared" si="23"/>
        <v>334</v>
      </c>
      <c r="O335">
        <f t="shared" si="22"/>
        <v>492</v>
      </c>
      <c r="P335" t="str">
        <f t="shared" si="20"/>
        <v>00-Jan-00 -00:00:00- 00:00:00</v>
      </c>
      <c r="R335" t="str">
        <f t="shared" si="21"/>
        <v>00:00:00- 00:00:00-</v>
      </c>
    </row>
    <row r="336" spans="1:18" ht="24" customHeight="1">
      <c r="A336" s="23">
        <f t="shared" si="23"/>
        <v>335</v>
      </c>
      <c r="O336">
        <f t="shared" si="22"/>
        <v>492</v>
      </c>
      <c r="P336" t="str">
        <f t="shared" si="20"/>
        <v>00-Jan-00 -00:00:00- 00:00:00</v>
      </c>
      <c r="R336" t="str">
        <f t="shared" si="21"/>
        <v>00:00:00- 00:00:00-</v>
      </c>
    </row>
    <row r="337" spans="1:18" ht="24" customHeight="1">
      <c r="A337" s="23">
        <f t="shared" si="23"/>
        <v>336</v>
      </c>
      <c r="O337">
        <f t="shared" si="22"/>
        <v>492</v>
      </c>
      <c r="P337" t="str">
        <f t="shared" si="20"/>
        <v>00-Jan-00 -00:00:00- 00:00:00</v>
      </c>
      <c r="R337" t="str">
        <f t="shared" si="21"/>
        <v>00:00:00- 00:00:00-</v>
      </c>
    </row>
    <row r="338" spans="1:18" ht="24" customHeight="1">
      <c r="A338" s="23">
        <f t="shared" si="23"/>
        <v>337</v>
      </c>
      <c r="O338">
        <f t="shared" si="22"/>
        <v>492</v>
      </c>
      <c r="P338" t="str">
        <f t="shared" si="20"/>
        <v>00-Jan-00 -00:00:00- 00:00:00</v>
      </c>
      <c r="R338" t="str">
        <f t="shared" si="21"/>
        <v>00:00:00- 00:00:00-</v>
      </c>
    </row>
    <row r="339" spans="1:18" ht="24" customHeight="1">
      <c r="A339" s="23">
        <f t="shared" si="23"/>
        <v>338</v>
      </c>
      <c r="O339">
        <f t="shared" si="22"/>
        <v>492</v>
      </c>
      <c r="P339" t="str">
        <f t="shared" si="20"/>
        <v>00-Jan-00 -00:00:00- 00:00:00</v>
      </c>
      <c r="R339" t="str">
        <f t="shared" si="21"/>
        <v>00:00:00- 00:00:00-</v>
      </c>
    </row>
    <row r="340" spans="1:18" ht="24" customHeight="1">
      <c r="A340" s="23">
        <f t="shared" si="23"/>
        <v>339</v>
      </c>
      <c r="O340">
        <f t="shared" si="22"/>
        <v>492</v>
      </c>
      <c r="P340" t="str">
        <f t="shared" si="20"/>
        <v>00-Jan-00 -00:00:00- 00:00:00</v>
      </c>
      <c r="R340" t="str">
        <f t="shared" si="21"/>
        <v>00:00:00- 00:00:00-</v>
      </c>
    </row>
    <row r="341" spans="1:18" ht="24" customHeight="1">
      <c r="A341" s="23">
        <f t="shared" si="23"/>
        <v>340</v>
      </c>
      <c r="O341">
        <f t="shared" si="22"/>
        <v>492</v>
      </c>
      <c r="P341" t="str">
        <f t="shared" si="20"/>
        <v>00-Jan-00 -00:00:00- 00:00:00</v>
      </c>
      <c r="R341" t="str">
        <f t="shared" si="21"/>
        <v>00:00:00- 00:00:00-</v>
      </c>
    </row>
    <row r="342" spans="1:18" ht="24" customHeight="1">
      <c r="A342" s="23">
        <f t="shared" si="23"/>
        <v>341</v>
      </c>
      <c r="O342">
        <f t="shared" si="22"/>
        <v>492</v>
      </c>
      <c r="P342" t="str">
        <f t="shared" si="20"/>
        <v>00-Jan-00 -00:00:00- 00:00:00</v>
      </c>
      <c r="R342" t="str">
        <f t="shared" si="21"/>
        <v>00:00:00- 00:00:00-</v>
      </c>
    </row>
    <row r="343" spans="1:18" ht="24" customHeight="1">
      <c r="A343" s="23">
        <f t="shared" si="23"/>
        <v>342</v>
      </c>
      <c r="O343">
        <f t="shared" si="22"/>
        <v>492</v>
      </c>
      <c r="P343" t="str">
        <f t="shared" si="20"/>
        <v>00-Jan-00 -00:00:00- 00:00:00</v>
      </c>
      <c r="R343" t="str">
        <f t="shared" si="21"/>
        <v>00:00:00- 00:00:00-</v>
      </c>
    </row>
    <row r="344" spans="1:18" ht="24" customHeight="1">
      <c r="A344" s="23">
        <f t="shared" si="23"/>
        <v>343</v>
      </c>
      <c r="O344">
        <f t="shared" si="22"/>
        <v>492</v>
      </c>
      <c r="P344" t="str">
        <f t="shared" si="20"/>
        <v>00-Jan-00 -00:00:00- 00:00:00</v>
      </c>
      <c r="R344" t="str">
        <f t="shared" si="21"/>
        <v>00:00:00- 00:00:00-</v>
      </c>
    </row>
    <row r="345" spans="1:18" ht="24" customHeight="1">
      <c r="A345" s="23">
        <f t="shared" si="23"/>
        <v>344</v>
      </c>
      <c r="O345">
        <f t="shared" si="22"/>
        <v>492</v>
      </c>
      <c r="P345" t="str">
        <f t="shared" si="20"/>
        <v>00-Jan-00 -00:00:00- 00:00:00</v>
      </c>
      <c r="R345" t="str">
        <f t="shared" si="21"/>
        <v>00:00:00- 00:00:00-</v>
      </c>
    </row>
    <row r="346" spans="1:18" ht="24" customHeight="1">
      <c r="A346" s="23">
        <f t="shared" si="23"/>
        <v>345</v>
      </c>
      <c r="O346">
        <f t="shared" si="22"/>
        <v>492</v>
      </c>
      <c r="P346" t="str">
        <f t="shared" si="20"/>
        <v>00-Jan-00 -00:00:00- 00:00:00</v>
      </c>
      <c r="R346" t="str">
        <f t="shared" si="21"/>
        <v>00:00:00- 00:00:00-</v>
      </c>
    </row>
    <row r="347" spans="1:18" ht="24" customHeight="1">
      <c r="A347" s="23">
        <f t="shared" si="23"/>
        <v>346</v>
      </c>
      <c r="O347">
        <f t="shared" si="22"/>
        <v>492</v>
      </c>
      <c r="P347" t="str">
        <f t="shared" si="20"/>
        <v>00-Jan-00 -00:00:00- 00:00:00</v>
      </c>
      <c r="R347" t="str">
        <f t="shared" si="21"/>
        <v>00:00:00- 00:00:00-</v>
      </c>
    </row>
    <row r="348" spans="1:18" ht="24" customHeight="1">
      <c r="A348" s="23">
        <f t="shared" si="23"/>
        <v>347</v>
      </c>
      <c r="O348">
        <f t="shared" si="22"/>
        <v>492</v>
      </c>
      <c r="P348" t="str">
        <f t="shared" si="20"/>
        <v>00-Jan-00 -00:00:00- 00:00:00</v>
      </c>
      <c r="R348" t="str">
        <f t="shared" si="21"/>
        <v>00:00:00- 00:00:00-</v>
      </c>
    </row>
    <row r="349" spans="1:18" ht="24" customHeight="1">
      <c r="A349" s="23">
        <f t="shared" si="23"/>
        <v>348</v>
      </c>
      <c r="O349">
        <f t="shared" si="22"/>
        <v>492</v>
      </c>
      <c r="P349" t="str">
        <f t="shared" si="20"/>
        <v>00-Jan-00 -00:00:00- 00:00:00</v>
      </c>
      <c r="R349" t="str">
        <f t="shared" si="21"/>
        <v>00:00:00- 00:00:00-</v>
      </c>
    </row>
    <row r="350" spans="1:18" ht="24" customHeight="1">
      <c r="A350" s="23">
        <f t="shared" si="23"/>
        <v>349</v>
      </c>
      <c r="O350">
        <f t="shared" si="22"/>
        <v>492</v>
      </c>
      <c r="P350" t="str">
        <f t="shared" si="20"/>
        <v>00-Jan-00 -00:00:00- 00:00:00</v>
      </c>
      <c r="R350" t="str">
        <f t="shared" si="21"/>
        <v>00:00:00- 00:00:00-</v>
      </c>
    </row>
    <row r="351" spans="1:18" ht="24" customHeight="1">
      <c r="A351" s="23">
        <f t="shared" si="23"/>
        <v>350</v>
      </c>
      <c r="O351">
        <f t="shared" si="22"/>
        <v>492</v>
      </c>
      <c r="P351" t="str">
        <f t="shared" si="20"/>
        <v>00-Jan-00 -00:00:00- 00:00:00</v>
      </c>
      <c r="R351" t="str">
        <f t="shared" si="21"/>
        <v>00:00:00- 00:00:00-</v>
      </c>
    </row>
    <row r="352" spans="1:18" ht="24" customHeight="1">
      <c r="A352" s="23">
        <f t="shared" si="23"/>
        <v>351</v>
      </c>
      <c r="O352">
        <f t="shared" si="22"/>
        <v>492</v>
      </c>
      <c r="P352" t="str">
        <f t="shared" si="20"/>
        <v>00-Jan-00 -00:00:00- 00:00:00</v>
      </c>
      <c r="R352" t="str">
        <f t="shared" si="21"/>
        <v>00:00:00- 00:00:00-</v>
      </c>
    </row>
    <row r="353" spans="1:18" ht="24" customHeight="1">
      <c r="A353" s="23">
        <f t="shared" si="23"/>
        <v>352</v>
      </c>
      <c r="O353">
        <f t="shared" si="22"/>
        <v>492</v>
      </c>
      <c r="P353" t="str">
        <f t="shared" si="20"/>
        <v>00-Jan-00 -00:00:00- 00:00:00</v>
      </c>
      <c r="R353" t="str">
        <f t="shared" si="21"/>
        <v>00:00:00- 00:00:00-</v>
      </c>
    </row>
    <row r="354" spans="1:18" ht="24" customHeight="1">
      <c r="A354" s="23">
        <f t="shared" si="23"/>
        <v>353</v>
      </c>
      <c r="O354">
        <f t="shared" si="22"/>
        <v>492</v>
      </c>
      <c r="P354" t="str">
        <f t="shared" si="20"/>
        <v>00-Jan-00 -00:00:00- 00:00:00</v>
      </c>
      <c r="R354" t="str">
        <f t="shared" si="21"/>
        <v>00:00:00- 00:00:00-</v>
      </c>
    </row>
    <row r="355" spans="1:18" ht="24" customHeight="1">
      <c r="A355" s="23">
        <f t="shared" si="23"/>
        <v>354</v>
      </c>
      <c r="O355">
        <f t="shared" si="22"/>
        <v>492</v>
      </c>
      <c r="P355" t="str">
        <f t="shared" si="20"/>
        <v>00-Jan-00 -00:00:00- 00:00:00</v>
      </c>
      <c r="R355" t="str">
        <f t="shared" si="21"/>
        <v>00:00:00- 00:00:00-</v>
      </c>
    </row>
    <row r="356" spans="1:18" ht="24" customHeight="1">
      <c r="A356" s="23">
        <f t="shared" si="23"/>
        <v>355</v>
      </c>
      <c r="O356">
        <f t="shared" si="22"/>
        <v>492</v>
      </c>
      <c r="P356" t="str">
        <f t="shared" si="20"/>
        <v>00-Jan-00 -00:00:00- 00:00:00</v>
      </c>
      <c r="R356" t="str">
        <f t="shared" si="21"/>
        <v>00:00:00- 00:00:00-</v>
      </c>
    </row>
    <row r="357" spans="1:18" ht="24" customHeight="1">
      <c r="A357" s="23">
        <f t="shared" si="23"/>
        <v>356</v>
      </c>
      <c r="O357">
        <f t="shared" si="22"/>
        <v>492</v>
      </c>
      <c r="P357" t="str">
        <f t="shared" si="20"/>
        <v>00-Jan-00 -00:00:00- 00:00:00</v>
      </c>
      <c r="R357" t="str">
        <f t="shared" si="21"/>
        <v>00:00:00- 00:00:00-</v>
      </c>
    </row>
    <row r="358" spans="1:18" ht="24" customHeight="1">
      <c r="A358" s="23">
        <f t="shared" si="23"/>
        <v>357</v>
      </c>
      <c r="O358">
        <f t="shared" si="22"/>
        <v>492</v>
      </c>
      <c r="P358" t="str">
        <f t="shared" si="20"/>
        <v>00-Jan-00 -00:00:00- 00:00:00</v>
      </c>
      <c r="R358" t="str">
        <f t="shared" si="21"/>
        <v>00:00:00- 00:00:00-</v>
      </c>
    </row>
    <row r="359" spans="1:18" ht="24" customHeight="1">
      <c r="A359" s="23">
        <f t="shared" si="23"/>
        <v>358</v>
      </c>
      <c r="O359">
        <f t="shared" si="22"/>
        <v>492</v>
      </c>
      <c r="P359" t="str">
        <f t="shared" si="20"/>
        <v>00-Jan-00 -00:00:00- 00:00:00</v>
      </c>
      <c r="R359" t="str">
        <f t="shared" si="21"/>
        <v>00:00:00- 00:00:00-</v>
      </c>
    </row>
    <row r="360" spans="1:18" ht="24" customHeight="1">
      <c r="A360" s="23">
        <f t="shared" si="23"/>
        <v>359</v>
      </c>
      <c r="O360">
        <f t="shared" si="22"/>
        <v>492</v>
      </c>
      <c r="P360" t="str">
        <f t="shared" si="20"/>
        <v>00-Jan-00 -00:00:00- 00:00:00</v>
      </c>
      <c r="R360" t="str">
        <f t="shared" si="21"/>
        <v>00:00:00- 00:00:00-</v>
      </c>
    </row>
    <row r="361" spans="1:18" ht="24" customHeight="1">
      <c r="A361" s="23">
        <f t="shared" si="23"/>
        <v>360</v>
      </c>
      <c r="O361">
        <f t="shared" si="22"/>
        <v>492</v>
      </c>
      <c r="P361" t="str">
        <f t="shared" si="20"/>
        <v>00-Jan-00 -00:00:00- 00:00:00</v>
      </c>
      <c r="R361" t="str">
        <f t="shared" si="21"/>
        <v>00:00:00- 00:00:00-</v>
      </c>
    </row>
    <row r="362" spans="1:18" ht="24" customHeight="1">
      <c r="A362" s="23">
        <f t="shared" si="23"/>
        <v>361</v>
      </c>
      <c r="O362">
        <f t="shared" si="22"/>
        <v>492</v>
      </c>
      <c r="P362" t="str">
        <f t="shared" si="20"/>
        <v>00-Jan-00 -00:00:00- 00:00:00</v>
      </c>
      <c r="R362" t="str">
        <f t="shared" si="21"/>
        <v>00:00:00- 00:00:00-</v>
      </c>
    </row>
    <row r="363" spans="1:18" ht="24" customHeight="1">
      <c r="A363" s="23">
        <f t="shared" si="23"/>
        <v>362</v>
      </c>
      <c r="O363">
        <f t="shared" si="22"/>
        <v>492</v>
      </c>
      <c r="P363" t="str">
        <f t="shared" si="20"/>
        <v>00-Jan-00 -00:00:00- 00:00:00</v>
      </c>
      <c r="R363" t="str">
        <f t="shared" si="21"/>
        <v>00:00:00- 00:00:00-</v>
      </c>
    </row>
    <row r="364" spans="1:18" ht="24" customHeight="1">
      <c r="A364" s="23">
        <f t="shared" si="23"/>
        <v>363</v>
      </c>
      <c r="O364">
        <f t="shared" si="22"/>
        <v>492</v>
      </c>
      <c r="P364" t="str">
        <f t="shared" si="20"/>
        <v>00-Jan-00 -00:00:00- 00:00:00</v>
      </c>
      <c r="R364" t="str">
        <f t="shared" si="21"/>
        <v>00:00:00- 00:00:00-</v>
      </c>
    </row>
    <row r="365" spans="1:18" ht="24" customHeight="1">
      <c r="A365" s="23">
        <f t="shared" si="23"/>
        <v>364</v>
      </c>
      <c r="O365">
        <f t="shared" si="22"/>
        <v>492</v>
      </c>
      <c r="P365" t="str">
        <f t="shared" si="20"/>
        <v>00-Jan-00 -00:00:00- 00:00:00</v>
      </c>
      <c r="R365" t="str">
        <f t="shared" si="21"/>
        <v>00:00:00- 00:00:00-</v>
      </c>
    </row>
    <row r="366" spans="1:18" ht="24" customHeight="1">
      <c r="A366" s="23">
        <f t="shared" si="23"/>
        <v>365</v>
      </c>
      <c r="O366">
        <f t="shared" si="22"/>
        <v>492</v>
      </c>
      <c r="P366" t="str">
        <f t="shared" si="20"/>
        <v>00-Jan-00 -00:00:00- 00:00:00</v>
      </c>
      <c r="R366" t="str">
        <f t="shared" si="21"/>
        <v>00:00:00- 00:00:00-</v>
      </c>
    </row>
    <row r="367" spans="1:18" ht="24" customHeight="1">
      <c r="A367" s="23">
        <f t="shared" si="23"/>
        <v>366</v>
      </c>
      <c r="O367">
        <f t="shared" si="22"/>
        <v>492</v>
      </c>
      <c r="P367" t="str">
        <f t="shared" si="20"/>
        <v>00-Jan-00 -00:00:00- 00:00:00</v>
      </c>
      <c r="R367" t="str">
        <f t="shared" si="21"/>
        <v>00:00:00- 00:00:00-</v>
      </c>
    </row>
    <row r="368" spans="1:18" ht="24" customHeight="1">
      <c r="A368" s="23">
        <f t="shared" si="23"/>
        <v>367</v>
      </c>
      <c r="O368">
        <f t="shared" si="22"/>
        <v>492</v>
      </c>
      <c r="P368" t="str">
        <f t="shared" si="20"/>
        <v>00-Jan-00 -00:00:00- 00:00:00</v>
      </c>
      <c r="R368" t="str">
        <f t="shared" si="21"/>
        <v>00:00:00- 00:00:00-</v>
      </c>
    </row>
    <row r="369" spans="1:18" ht="24" customHeight="1">
      <c r="A369" s="23">
        <f t="shared" si="23"/>
        <v>368</v>
      </c>
      <c r="O369">
        <f t="shared" si="22"/>
        <v>492</v>
      </c>
      <c r="P369" t="str">
        <f t="shared" si="20"/>
        <v>00-Jan-00 -00:00:00- 00:00:00</v>
      </c>
      <c r="R369" t="str">
        <f t="shared" si="21"/>
        <v>00:00:00- 00:00:00-</v>
      </c>
    </row>
    <row r="370" spans="1:18" ht="24" customHeight="1">
      <c r="A370" s="23">
        <f t="shared" si="23"/>
        <v>369</v>
      </c>
      <c r="O370">
        <f t="shared" si="22"/>
        <v>492</v>
      </c>
      <c r="P370" t="str">
        <f t="shared" si="20"/>
        <v>00-Jan-00 -00:00:00- 00:00:00</v>
      </c>
      <c r="R370" t="str">
        <f t="shared" si="21"/>
        <v>00:00:00- 00:00:00-</v>
      </c>
    </row>
    <row r="371" spans="1:18" ht="24" customHeight="1">
      <c r="A371" s="23">
        <f t="shared" si="23"/>
        <v>370</v>
      </c>
      <c r="O371">
        <f t="shared" si="22"/>
        <v>492</v>
      </c>
      <c r="P371" t="str">
        <f t="shared" si="20"/>
        <v>00-Jan-00 -00:00:00- 00:00:00</v>
      </c>
      <c r="R371" t="str">
        <f t="shared" si="21"/>
        <v>00:00:00- 00:00:00-</v>
      </c>
    </row>
    <row r="372" spans="1:18" ht="24" customHeight="1">
      <c r="A372" s="23">
        <f t="shared" si="23"/>
        <v>371</v>
      </c>
      <c r="O372">
        <f t="shared" si="22"/>
        <v>492</v>
      </c>
      <c r="P372" t="str">
        <f t="shared" si="20"/>
        <v>00-Jan-00 -00:00:00- 00:00:00</v>
      </c>
      <c r="R372" t="str">
        <f t="shared" si="21"/>
        <v>00:00:00- 00:00:00-</v>
      </c>
    </row>
    <row r="373" spans="1:18" ht="24" customHeight="1">
      <c r="A373" s="23">
        <f t="shared" si="23"/>
        <v>372</v>
      </c>
      <c r="O373">
        <f t="shared" si="22"/>
        <v>492</v>
      </c>
      <c r="P373" t="str">
        <f t="shared" si="20"/>
        <v>00-Jan-00 -00:00:00- 00:00:00</v>
      </c>
      <c r="R373" t="str">
        <f t="shared" si="21"/>
        <v>00:00:00- 00:00:00-</v>
      </c>
    </row>
    <row r="374" spans="1:18" ht="24" customHeight="1">
      <c r="A374" s="23">
        <f t="shared" si="23"/>
        <v>373</v>
      </c>
      <c r="O374">
        <f t="shared" si="22"/>
        <v>492</v>
      </c>
      <c r="P374" t="str">
        <f t="shared" si="20"/>
        <v>00-Jan-00 -00:00:00- 00:00:00</v>
      </c>
      <c r="R374" t="str">
        <f t="shared" si="21"/>
        <v>00:00:00- 00:00:00-</v>
      </c>
    </row>
    <row r="375" spans="1:18" ht="24" customHeight="1">
      <c r="A375" s="23">
        <f t="shared" si="23"/>
        <v>374</v>
      </c>
      <c r="O375">
        <f t="shared" si="22"/>
        <v>492</v>
      </c>
      <c r="P375" t="str">
        <f t="shared" si="20"/>
        <v>00-Jan-00 -00:00:00- 00:00:00</v>
      </c>
      <c r="R375" t="str">
        <f t="shared" si="21"/>
        <v>00:00:00- 00:00:00-</v>
      </c>
    </row>
    <row r="376" spans="1:18" ht="24" customHeight="1">
      <c r="A376" s="23">
        <f t="shared" si="23"/>
        <v>375</v>
      </c>
      <c r="O376">
        <f t="shared" si="22"/>
        <v>492</v>
      </c>
      <c r="P376" t="str">
        <f t="shared" si="20"/>
        <v>00-Jan-00 -00:00:00- 00:00:00</v>
      </c>
      <c r="R376" t="str">
        <f t="shared" si="21"/>
        <v>00:00:00- 00:00:00-</v>
      </c>
    </row>
    <row r="377" spans="1:18" ht="24" customHeight="1">
      <c r="A377" s="23">
        <f t="shared" si="23"/>
        <v>376</v>
      </c>
      <c r="O377">
        <f t="shared" si="22"/>
        <v>492</v>
      </c>
      <c r="P377" t="str">
        <f t="shared" si="20"/>
        <v>00-Jan-00 -00:00:00- 00:00:00</v>
      </c>
      <c r="R377" t="str">
        <f t="shared" si="21"/>
        <v>00:00:00- 00:00:00-</v>
      </c>
    </row>
    <row r="378" spans="1:18" ht="24" customHeight="1">
      <c r="A378" s="23">
        <f t="shared" si="23"/>
        <v>377</v>
      </c>
      <c r="O378">
        <f t="shared" si="22"/>
        <v>492</v>
      </c>
      <c r="P378" t="str">
        <f t="shared" si="20"/>
        <v>00-Jan-00 -00:00:00- 00:00:00</v>
      </c>
      <c r="R378" t="str">
        <f t="shared" si="21"/>
        <v>00:00:00- 00:00:00-</v>
      </c>
    </row>
    <row r="379" spans="1:18" ht="24" customHeight="1">
      <c r="A379" s="23">
        <f t="shared" si="23"/>
        <v>378</v>
      </c>
      <c r="O379">
        <f t="shared" si="22"/>
        <v>492</v>
      </c>
      <c r="P379" t="str">
        <f t="shared" si="20"/>
        <v>00-Jan-00 -00:00:00- 00:00:00</v>
      </c>
      <c r="R379" t="str">
        <f t="shared" si="21"/>
        <v>00:00:00- 00:00:00-</v>
      </c>
    </row>
    <row r="380" spans="1:18" ht="24" customHeight="1">
      <c r="A380" s="23">
        <f t="shared" si="23"/>
        <v>379</v>
      </c>
      <c r="O380">
        <f t="shared" si="22"/>
        <v>492</v>
      </c>
      <c r="P380" t="str">
        <f t="shared" si="20"/>
        <v>00-Jan-00 -00:00:00- 00:00:00</v>
      </c>
      <c r="R380" t="str">
        <f t="shared" si="21"/>
        <v>00:00:00- 00:00:00-</v>
      </c>
    </row>
    <row r="381" spans="1:18" ht="24" customHeight="1">
      <c r="A381" s="23">
        <f t="shared" si="23"/>
        <v>380</v>
      </c>
      <c r="O381">
        <f t="shared" si="22"/>
        <v>492</v>
      </c>
      <c r="P381" t="str">
        <f t="shared" si="20"/>
        <v>00-Jan-00 -00:00:00- 00:00:00</v>
      </c>
      <c r="R381" t="str">
        <f t="shared" si="21"/>
        <v>00:00:00- 00:00:00-</v>
      </c>
    </row>
    <row r="382" spans="1:18" ht="24" customHeight="1">
      <c r="A382" s="23">
        <f t="shared" si="23"/>
        <v>381</v>
      </c>
      <c r="O382">
        <f t="shared" si="22"/>
        <v>492</v>
      </c>
      <c r="P382" t="str">
        <f t="shared" si="20"/>
        <v>00-Jan-00 -00:00:00- 00:00:00</v>
      </c>
      <c r="R382" t="str">
        <f t="shared" si="21"/>
        <v>00:00:00- 00:00:00-</v>
      </c>
    </row>
    <row r="383" spans="1:18" ht="24" customHeight="1">
      <c r="A383" s="23">
        <f t="shared" si="23"/>
        <v>382</v>
      </c>
      <c r="O383">
        <f t="shared" si="22"/>
        <v>492</v>
      </c>
      <c r="P383" t="str">
        <f t="shared" si="20"/>
        <v>00-Jan-00 -00:00:00- 00:00:00</v>
      </c>
      <c r="R383" t="str">
        <f t="shared" si="21"/>
        <v>00:00:00- 00:00:00-</v>
      </c>
    </row>
    <row r="384" spans="1:18" ht="24" customHeight="1">
      <c r="A384" s="23">
        <f t="shared" si="23"/>
        <v>383</v>
      </c>
      <c r="O384">
        <f t="shared" si="22"/>
        <v>492</v>
      </c>
      <c r="P384" t="str">
        <f t="shared" ref="P384:P447" si="24">_xlfn.CONCAT(TEXT(DATE(YEAR(B384),MONTH(B384),DAY(B384)),"DD-MMM-YY")," ",G384,,"-",TEXT(TIME(HOUR(H384),MINUTE(H384),SECOND(H384)),"HH:MM:SS"),"- ",TEXT(TIME(HOUR(I384),MINUTE(I384),HOUR(I384)),"Hh:MM:SS"))</f>
        <v>00-Jan-00 -00:00:00- 00:00:00</v>
      </c>
      <c r="R384" t="str">
        <f t="shared" ref="R384:R447" si="25">(_xlfn.CONCAT(TEXT(TIME(HOUR(H384),MINUTE(H384),SECOND(H384)),"HH:MM:SS"),"- ",TEXT(TIME(HOUR(I384),MINUTE(I384),HOUR(I384)),"Hh:MM:SS"),"-",G384))</f>
        <v>00:00:00- 00:00:00-</v>
      </c>
    </row>
    <row r="385" spans="1:18" ht="24" customHeight="1">
      <c r="A385" s="23">
        <f t="shared" si="23"/>
        <v>384</v>
      </c>
      <c r="O385">
        <f t="shared" si="22"/>
        <v>492</v>
      </c>
      <c r="P385" t="str">
        <f t="shared" si="24"/>
        <v>00-Jan-00 -00:00:00- 00:00:00</v>
      </c>
      <c r="R385" t="str">
        <f t="shared" si="25"/>
        <v>00:00:00- 00:00:00-</v>
      </c>
    </row>
    <row r="386" spans="1:18" ht="24" customHeight="1">
      <c r="A386" s="23">
        <f t="shared" si="23"/>
        <v>385</v>
      </c>
      <c r="O386">
        <f t="shared" ref="O386:O449" si="26">COUNTIF($P$2:$P$1048576,P386)</f>
        <v>492</v>
      </c>
      <c r="P386" t="str">
        <f t="shared" si="24"/>
        <v>00-Jan-00 -00:00:00- 00:00:00</v>
      </c>
      <c r="R386" t="str">
        <f t="shared" si="25"/>
        <v>00:00:00- 00:00:00-</v>
      </c>
    </row>
    <row r="387" spans="1:18" ht="24" customHeight="1">
      <c r="A387" s="23">
        <f t="shared" ref="A387:A450" si="27">A386+1</f>
        <v>386</v>
      </c>
      <c r="O387">
        <f t="shared" si="26"/>
        <v>492</v>
      </c>
      <c r="P387" t="str">
        <f t="shared" si="24"/>
        <v>00-Jan-00 -00:00:00- 00:00:00</v>
      </c>
      <c r="R387" t="str">
        <f t="shared" si="25"/>
        <v>00:00:00- 00:00:00-</v>
      </c>
    </row>
    <row r="388" spans="1:18" ht="24" customHeight="1">
      <c r="A388" s="23">
        <f t="shared" si="27"/>
        <v>387</v>
      </c>
      <c r="O388">
        <f t="shared" si="26"/>
        <v>492</v>
      </c>
      <c r="P388" t="str">
        <f t="shared" si="24"/>
        <v>00-Jan-00 -00:00:00- 00:00:00</v>
      </c>
      <c r="R388" t="str">
        <f t="shared" si="25"/>
        <v>00:00:00- 00:00:00-</v>
      </c>
    </row>
    <row r="389" spans="1:18" ht="24" customHeight="1">
      <c r="A389" s="23">
        <f t="shared" si="27"/>
        <v>388</v>
      </c>
      <c r="O389">
        <f t="shared" si="26"/>
        <v>492</v>
      </c>
      <c r="P389" t="str">
        <f t="shared" si="24"/>
        <v>00-Jan-00 -00:00:00- 00:00:00</v>
      </c>
      <c r="R389" t="str">
        <f t="shared" si="25"/>
        <v>00:00:00- 00:00:00-</v>
      </c>
    </row>
    <row r="390" spans="1:18" ht="24" customHeight="1">
      <c r="A390" s="23">
        <f t="shared" si="27"/>
        <v>389</v>
      </c>
      <c r="O390">
        <f t="shared" si="26"/>
        <v>492</v>
      </c>
      <c r="P390" t="str">
        <f t="shared" si="24"/>
        <v>00-Jan-00 -00:00:00- 00:00:00</v>
      </c>
      <c r="R390" t="str">
        <f t="shared" si="25"/>
        <v>00:00:00- 00:00:00-</v>
      </c>
    </row>
    <row r="391" spans="1:18" ht="24" customHeight="1">
      <c r="A391" s="23">
        <f t="shared" si="27"/>
        <v>390</v>
      </c>
      <c r="O391">
        <f t="shared" si="26"/>
        <v>492</v>
      </c>
      <c r="P391" t="str">
        <f t="shared" si="24"/>
        <v>00-Jan-00 -00:00:00- 00:00:00</v>
      </c>
      <c r="R391" t="str">
        <f t="shared" si="25"/>
        <v>00:00:00- 00:00:00-</v>
      </c>
    </row>
    <row r="392" spans="1:18" ht="24" customHeight="1">
      <c r="A392" s="23">
        <f t="shared" si="27"/>
        <v>391</v>
      </c>
      <c r="O392">
        <f t="shared" si="26"/>
        <v>492</v>
      </c>
      <c r="P392" t="str">
        <f t="shared" si="24"/>
        <v>00-Jan-00 -00:00:00- 00:00:00</v>
      </c>
      <c r="R392" t="str">
        <f t="shared" si="25"/>
        <v>00:00:00- 00:00:00-</v>
      </c>
    </row>
    <row r="393" spans="1:18" ht="24" customHeight="1">
      <c r="A393" s="23">
        <f t="shared" si="27"/>
        <v>392</v>
      </c>
      <c r="O393">
        <f t="shared" si="26"/>
        <v>492</v>
      </c>
      <c r="P393" t="str">
        <f t="shared" si="24"/>
        <v>00-Jan-00 -00:00:00- 00:00:00</v>
      </c>
      <c r="R393" t="str">
        <f t="shared" si="25"/>
        <v>00:00:00- 00:00:00-</v>
      </c>
    </row>
    <row r="394" spans="1:18" ht="24" customHeight="1">
      <c r="A394" s="23">
        <f t="shared" si="27"/>
        <v>393</v>
      </c>
      <c r="O394">
        <f t="shared" si="26"/>
        <v>492</v>
      </c>
      <c r="P394" t="str">
        <f t="shared" si="24"/>
        <v>00-Jan-00 -00:00:00- 00:00:00</v>
      </c>
      <c r="R394" t="str">
        <f t="shared" si="25"/>
        <v>00:00:00- 00:00:00-</v>
      </c>
    </row>
    <row r="395" spans="1:18" ht="24" customHeight="1">
      <c r="A395" s="23">
        <f t="shared" si="27"/>
        <v>394</v>
      </c>
      <c r="O395">
        <f t="shared" si="26"/>
        <v>492</v>
      </c>
      <c r="P395" t="str">
        <f t="shared" si="24"/>
        <v>00-Jan-00 -00:00:00- 00:00:00</v>
      </c>
      <c r="R395" t="str">
        <f t="shared" si="25"/>
        <v>00:00:00- 00:00:00-</v>
      </c>
    </row>
    <row r="396" spans="1:18" ht="24" customHeight="1">
      <c r="A396" s="23">
        <f t="shared" si="27"/>
        <v>395</v>
      </c>
      <c r="O396">
        <f t="shared" si="26"/>
        <v>492</v>
      </c>
      <c r="P396" t="str">
        <f t="shared" si="24"/>
        <v>00-Jan-00 -00:00:00- 00:00:00</v>
      </c>
      <c r="R396" t="str">
        <f t="shared" si="25"/>
        <v>00:00:00- 00:00:00-</v>
      </c>
    </row>
    <row r="397" spans="1:18" ht="24" customHeight="1">
      <c r="A397" s="23">
        <f t="shared" si="27"/>
        <v>396</v>
      </c>
      <c r="O397">
        <f t="shared" si="26"/>
        <v>492</v>
      </c>
      <c r="P397" t="str">
        <f t="shared" si="24"/>
        <v>00-Jan-00 -00:00:00- 00:00:00</v>
      </c>
      <c r="R397" t="str">
        <f t="shared" si="25"/>
        <v>00:00:00- 00:00:00-</v>
      </c>
    </row>
    <row r="398" spans="1:18" ht="24" customHeight="1">
      <c r="A398" s="23">
        <f t="shared" si="27"/>
        <v>397</v>
      </c>
      <c r="O398">
        <f t="shared" si="26"/>
        <v>492</v>
      </c>
      <c r="P398" t="str">
        <f t="shared" si="24"/>
        <v>00-Jan-00 -00:00:00- 00:00:00</v>
      </c>
      <c r="R398" t="str">
        <f t="shared" si="25"/>
        <v>00:00:00- 00:00:00-</v>
      </c>
    </row>
    <row r="399" spans="1:18" ht="24" customHeight="1">
      <c r="A399" s="23">
        <f t="shared" si="27"/>
        <v>398</v>
      </c>
      <c r="O399">
        <f t="shared" si="26"/>
        <v>492</v>
      </c>
      <c r="P399" t="str">
        <f t="shared" si="24"/>
        <v>00-Jan-00 -00:00:00- 00:00:00</v>
      </c>
      <c r="R399" t="str">
        <f t="shared" si="25"/>
        <v>00:00:00- 00:00:00-</v>
      </c>
    </row>
    <row r="400" spans="1:18" ht="24" customHeight="1">
      <c r="A400" s="23">
        <f t="shared" si="27"/>
        <v>399</v>
      </c>
      <c r="O400">
        <f t="shared" si="26"/>
        <v>492</v>
      </c>
      <c r="P400" t="str">
        <f t="shared" si="24"/>
        <v>00-Jan-00 -00:00:00- 00:00:00</v>
      </c>
      <c r="R400" t="str">
        <f t="shared" si="25"/>
        <v>00:00:00- 00:00:00-</v>
      </c>
    </row>
    <row r="401" spans="1:18" ht="24" customHeight="1">
      <c r="A401" s="23">
        <f t="shared" si="27"/>
        <v>400</v>
      </c>
      <c r="O401">
        <f t="shared" si="26"/>
        <v>492</v>
      </c>
      <c r="P401" t="str">
        <f t="shared" si="24"/>
        <v>00-Jan-00 -00:00:00- 00:00:00</v>
      </c>
      <c r="R401" t="str">
        <f t="shared" si="25"/>
        <v>00:00:00- 00:00:00-</v>
      </c>
    </row>
    <row r="402" spans="1:18" ht="24" customHeight="1">
      <c r="A402" s="23">
        <f t="shared" si="27"/>
        <v>401</v>
      </c>
      <c r="O402">
        <f t="shared" si="26"/>
        <v>492</v>
      </c>
      <c r="P402" t="str">
        <f t="shared" si="24"/>
        <v>00-Jan-00 -00:00:00- 00:00:00</v>
      </c>
      <c r="R402" t="str">
        <f t="shared" si="25"/>
        <v>00:00:00- 00:00:00-</v>
      </c>
    </row>
    <row r="403" spans="1:18" ht="24" customHeight="1">
      <c r="A403" s="23">
        <f t="shared" si="27"/>
        <v>402</v>
      </c>
      <c r="O403">
        <f t="shared" si="26"/>
        <v>492</v>
      </c>
      <c r="P403" t="str">
        <f t="shared" si="24"/>
        <v>00-Jan-00 -00:00:00- 00:00:00</v>
      </c>
      <c r="R403" t="str">
        <f t="shared" si="25"/>
        <v>00:00:00- 00:00:00-</v>
      </c>
    </row>
    <row r="404" spans="1:18" ht="24" customHeight="1">
      <c r="A404" s="23">
        <f t="shared" si="27"/>
        <v>403</v>
      </c>
      <c r="O404">
        <f t="shared" si="26"/>
        <v>492</v>
      </c>
      <c r="P404" t="str">
        <f t="shared" si="24"/>
        <v>00-Jan-00 -00:00:00- 00:00:00</v>
      </c>
      <c r="R404" t="str">
        <f t="shared" si="25"/>
        <v>00:00:00- 00:00:00-</v>
      </c>
    </row>
    <row r="405" spans="1:18" ht="24" customHeight="1">
      <c r="A405" s="23">
        <f t="shared" si="27"/>
        <v>404</v>
      </c>
      <c r="O405">
        <f t="shared" si="26"/>
        <v>492</v>
      </c>
      <c r="P405" t="str">
        <f t="shared" si="24"/>
        <v>00-Jan-00 -00:00:00- 00:00:00</v>
      </c>
      <c r="R405" t="str">
        <f t="shared" si="25"/>
        <v>00:00:00- 00:00:00-</v>
      </c>
    </row>
    <row r="406" spans="1:18" ht="24" customHeight="1">
      <c r="A406" s="23">
        <f t="shared" si="27"/>
        <v>405</v>
      </c>
      <c r="O406">
        <f t="shared" si="26"/>
        <v>492</v>
      </c>
      <c r="P406" t="str">
        <f t="shared" si="24"/>
        <v>00-Jan-00 -00:00:00- 00:00:00</v>
      </c>
      <c r="R406" t="str">
        <f t="shared" si="25"/>
        <v>00:00:00- 00:00:00-</v>
      </c>
    </row>
    <row r="407" spans="1:18" ht="24" customHeight="1">
      <c r="A407" s="23">
        <f t="shared" si="27"/>
        <v>406</v>
      </c>
      <c r="O407">
        <f t="shared" si="26"/>
        <v>492</v>
      </c>
      <c r="P407" t="str">
        <f t="shared" si="24"/>
        <v>00-Jan-00 -00:00:00- 00:00:00</v>
      </c>
      <c r="R407" t="str">
        <f t="shared" si="25"/>
        <v>00:00:00- 00:00:00-</v>
      </c>
    </row>
    <row r="408" spans="1:18" ht="24" customHeight="1">
      <c r="A408" s="23">
        <f t="shared" si="27"/>
        <v>407</v>
      </c>
      <c r="O408">
        <f t="shared" si="26"/>
        <v>492</v>
      </c>
      <c r="P408" t="str">
        <f t="shared" si="24"/>
        <v>00-Jan-00 -00:00:00- 00:00:00</v>
      </c>
      <c r="R408" t="str">
        <f t="shared" si="25"/>
        <v>00:00:00- 00:00:00-</v>
      </c>
    </row>
    <row r="409" spans="1:18" ht="24" customHeight="1">
      <c r="A409" s="23">
        <f t="shared" si="27"/>
        <v>408</v>
      </c>
      <c r="O409">
        <f t="shared" si="26"/>
        <v>492</v>
      </c>
      <c r="P409" t="str">
        <f t="shared" si="24"/>
        <v>00-Jan-00 -00:00:00- 00:00:00</v>
      </c>
      <c r="R409" t="str">
        <f t="shared" si="25"/>
        <v>00:00:00- 00:00:00-</v>
      </c>
    </row>
    <row r="410" spans="1:18" ht="24" customHeight="1">
      <c r="A410" s="23">
        <f t="shared" si="27"/>
        <v>409</v>
      </c>
      <c r="O410">
        <f t="shared" si="26"/>
        <v>492</v>
      </c>
      <c r="P410" t="str">
        <f t="shared" si="24"/>
        <v>00-Jan-00 -00:00:00- 00:00:00</v>
      </c>
      <c r="R410" t="str">
        <f t="shared" si="25"/>
        <v>00:00:00- 00:00:00-</v>
      </c>
    </row>
    <row r="411" spans="1:18" ht="24" customHeight="1">
      <c r="A411" s="23">
        <f t="shared" si="27"/>
        <v>410</v>
      </c>
      <c r="O411">
        <f t="shared" si="26"/>
        <v>492</v>
      </c>
      <c r="P411" t="str">
        <f t="shared" si="24"/>
        <v>00-Jan-00 -00:00:00- 00:00:00</v>
      </c>
      <c r="R411" t="str">
        <f t="shared" si="25"/>
        <v>00:00:00- 00:00:00-</v>
      </c>
    </row>
    <row r="412" spans="1:18" ht="24" customHeight="1">
      <c r="A412" s="23">
        <f t="shared" si="27"/>
        <v>411</v>
      </c>
      <c r="O412">
        <f t="shared" si="26"/>
        <v>492</v>
      </c>
      <c r="P412" t="str">
        <f t="shared" si="24"/>
        <v>00-Jan-00 -00:00:00- 00:00:00</v>
      </c>
      <c r="R412" t="str">
        <f t="shared" si="25"/>
        <v>00:00:00- 00:00:00-</v>
      </c>
    </row>
    <row r="413" spans="1:18" ht="24" customHeight="1">
      <c r="A413" s="23">
        <f t="shared" si="27"/>
        <v>412</v>
      </c>
      <c r="O413">
        <f t="shared" si="26"/>
        <v>492</v>
      </c>
      <c r="P413" t="str">
        <f t="shared" si="24"/>
        <v>00-Jan-00 -00:00:00- 00:00:00</v>
      </c>
      <c r="R413" t="str">
        <f t="shared" si="25"/>
        <v>00:00:00- 00:00:00-</v>
      </c>
    </row>
    <row r="414" spans="1:18" ht="24" customHeight="1">
      <c r="A414" s="23">
        <f t="shared" si="27"/>
        <v>413</v>
      </c>
      <c r="O414">
        <f t="shared" si="26"/>
        <v>492</v>
      </c>
      <c r="P414" t="str">
        <f t="shared" si="24"/>
        <v>00-Jan-00 -00:00:00- 00:00:00</v>
      </c>
      <c r="R414" t="str">
        <f t="shared" si="25"/>
        <v>00:00:00- 00:00:00-</v>
      </c>
    </row>
    <row r="415" spans="1:18" ht="24" customHeight="1">
      <c r="A415" s="23">
        <f t="shared" si="27"/>
        <v>414</v>
      </c>
      <c r="O415">
        <f t="shared" si="26"/>
        <v>492</v>
      </c>
      <c r="P415" t="str">
        <f t="shared" si="24"/>
        <v>00-Jan-00 -00:00:00- 00:00:00</v>
      </c>
      <c r="R415" t="str">
        <f t="shared" si="25"/>
        <v>00:00:00- 00:00:00-</v>
      </c>
    </row>
    <row r="416" spans="1:18" ht="24" customHeight="1">
      <c r="A416" s="23">
        <f t="shared" si="27"/>
        <v>415</v>
      </c>
      <c r="O416">
        <f t="shared" si="26"/>
        <v>492</v>
      </c>
      <c r="P416" t="str">
        <f t="shared" si="24"/>
        <v>00-Jan-00 -00:00:00- 00:00:00</v>
      </c>
      <c r="R416" t="str">
        <f t="shared" si="25"/>
        <v>00:00:00- 00:00:00-</v>
      </c>
    </row>
    <row r="417" spans="1:18" ht="24" customHeight="1">
      <c r="A417" s="23">
        <f t="shared" si="27"/>
        <v>416</v>
      </c>
      <c r="O417">
        <f t="shared" si="26"/>
        <v>492</v>
      </c>
      <c r="P417" t="str">
        <f t="shared" si="24"/>
        <v>00-Jan-00 -00:00:00- 00:00:00</v>
      </c>
      <c r="R417" t="str">
        <f t="shared" si="25"/>
        <v>00:00:00- 00:00:00-</v>
      </c>
    </row>
    <row r="418" spans="1:18" ht="24" customHeight="1">
      <c r="A418" s="23">
        <f t="shared" si="27"/>
        <v>417</v>
      </c>
      <c r="O418">
        <f t="shared" si="26"/>
        <v>492</v>
      </c>
      <c r="P418" t="str">
        <f t="shared" si="24"/>
        <v>00-Jan-00 -00:00:00- 00:00:00</v>
      </c>
      <c r="R418" t="str">
        <f t="shared" si="25"/>
        <v>00:00:00- 00:00:00-</v>
      </c>
    </row>
    <row r="419" spans="1:18" ht="24" customHeight="1">
      <c r="A419" s="23">
        <f t="shared" si="27"/>
        <v>418</v>
      </c>
      <c r="O419">
        <f t="shared" si="26"/>
        <v>492</v>
      </c>
      <c r="P419" t="str">
        <f t="shared" si="24"/>
        <v>00-Jan-00 -00:00:00- 00:00:00</v>
      </c>
      <c r="R419" t="str">
        <f t="shared" si="25"/>
        <v>00:00:00- 00:00:00-</v>
      </c>
    </row>
    <row r="420" spans="1:18" ht="24" customHeight="1">
      <c r="A420" s="23">
        <f t="shared" si="27"/>
        <v>419</v>
      </c>
      <c r="O420">
        <f t="shared" si="26"/>
        <v>492</v>
      </c>
      <c r="P420" t="str">
        <f t="shared" si="24"/>
        <v>00-Jan-00 -00:00:00- 00:00:00</v>
      </c>
      <c r="R420" t="str">
        <f t="shared" si="25"/>
        <v>00:00:00- 00:00:00-</v>
      </c>
    </row>
    <row r="421" spans="1:18" ht="24" customHeight="1">
      <c r="A421" s="23">
        <f t="shared" si="27"/>
        <v>420</v>
      </c>
      <c r="O421">
        <f t="shared" si="26"/>
        <v>492</v>
      </c>
      <c r="P421" t="str">
        <f t="shared" si="24"/>
        <v>00-Jan-00 -00:00:00- 00:00:00</v>
      </c>
      <c r="R421" t="str">
        <f t="shared" si="25"/>
        <v>00:00:00- 00:00:00-</v>
      </c>
    </row>
    <row r="422" spans="1:18" ht="24" customHeight="1">
      <c r="A422" s="23">
        <f t="shared" si="27"/>
        <v>421</v>
      </c>
      <c r="O422">
        <f t="shared" si="26"/>
        <v>492</v>
      </c>
      <c r="P422" t="str">
        <f t="shared" si="24"/>
        <v>00-Jan-00 -00:00:00- 00:00:00</v>
      </c>
      <c r="R422" t="str">
        <f t="shared" si="25"/>
        <v>00:00:00- 00:00:00-</v>
      </c>
    </row>
    <row r="423" spans="1:18" ht="24" customHeight="1">
      <c r="A423" s="23">
        <f t="shared" si="27"/>
        <v>422</v>
      </c>
      <c r="O423">
        <f t="shared" si="26"/>
        <v>492</v>
      </c>
      <c r="P423" t="str">
        <f t="shared" si="24"/>
        <v>00-Jan-00 -00:00:00- 00:00:00</v>
      </c>
      <c r="R423" t="str">
        <f t="shared" si="25"/>
        <v>00:00:00- 00:00:00-</v>
      </c>
    </row>
    <row r="424" spans="1:18" ht="24" customHeight="1">
      <c r="A424" s="23">
        <f t="shared" si="27"/>
        <v>423</v>
      </c>
      <c r="O424">
        <f t="shared" si="26"/>
        <v>492</v>
      </c>
      <c r="P424" t="str">
        <f t="shared" si="24"/>
        <v>00-Jan-00 -00:00:00- 00:00:00</v>
      </c>
      <c r="R424" t="str">
        <f t="shared" si="25"/>
        <v>00:00:00- 00:00:00-</v>
      </c>
    </row>
    <row r="425" spans="1:18" ht="24" customHeight="1">
      <c r="A425" s="23">
        <f t="shared" si="27"/>
        <v>424</v>
      </c>
      <c r="O425">
        <f t="shared" si="26"/>
        <v>492</v>
      </c>
      <c r="P425" t="str">
        <f t="shared" si="24"/>
        <v>00-Jan-00 -00:00:00- 00:00:00</v>
      </c>
      <c r="R425" t="str">
        <f t="shared" si="25"/>
        <v>00:00:00- 00:00:00-</v>
      </c>
    </row>
    <row r="426" spans="1:18" ht="24" customHeight="1">
      <c r="A426" s="23">
        <f t="shared" si="27"/>
        <v>425</v>
      </c>
      <c r="O426">
        <f t="shared" si="26"/>
        <v>492</v>
      </c>
      <c r="P426" t="str">
        <f t="shared" si="24"/>
        <v>00-Jan-00 -00:00:00- 00:00:00</v>
      </c>
      <c r="R426" t="str">
        <f t="shared" si="25"/>
        <v>00:00:00- 00:00:00-</v>
      </c>
    </row>
    <row r="427" spans="1:18" ht="24" customHeight="1">
      <c r="A427" s="23">
        <f t="shared" si="27"/>
        <v>426</v>
      </c>
      <c r="O427">
        <f t="shared" si="26"/>
        <v>492</v>
      </c>
      <c r="P427" t="str">
        <f t="shared" si="24"/>
        <v>00-Jan-00 -00:00:00- 00:00:00</v>
      </c>
      <c r="R427" t="str">
        <f t="shared" si="25"/>
        <v>00:00:00- 00:00:00-</v>
      </c>
    </row>
    <row r="428" spans="1:18" ht="24" customHeight="1">
      <c r="A428" s="23">
        <f t="shared" si="27"/>
        <v>427</v>
      </c>
      <c r="O428">
        <f t="shared" si="26"/>
        <v>492</v>
      </c>
      <c r="P428" t="str">
        <f t="shared" si="24"/>
        <v>00-Jan-00 -00:00:00- 00:00:00</v>
      </c>
      <c r="R428" t="str">
        <f t="shared" si="25"/>
        <v>00:00:00- 00:00:00-</v>
      </c>
    </row>
    <row r="429" spans="1:18" ht="24" customHeight="1">
      <c r="A429" s="23">
        <f t="shared" si="27"/>
        <v>428</v>
      </c>
      <c r="O429">
        <f t="shared" si="26"/>
        <v>492</v>
      </c>
      <c r="P429" t="str">
        <f t="shared" si="24"/>
        <v>00-Jan-00 -00:00:00- 00:00:00</v>
      </c>
      <c r="R429" t="str">
        <f t="shared" si="25"/>
        <v>00:00:00- 00:00:00-</v>
      </c>
    </row>
    <row r="430" spans="1:18" ht="24" customHeight="1">
      <c r="A430" s="23">
        <f t="shared" si="27"/>
        <v>429</v>
      </c>
      <c r="O430">
        <f t="shared" si="26"/>
        <v>492</v>
      </c>
      <c r="P430" t="str">
        <f t="shared" si="24"/>
        <v>00-Jan-00 -00:00:00- 00:00:00</v>
      </c>
      <c r="R430" t="str">
        <f t="shared" si="25"/>
        <v>00:00:00- 00:00:00-</v>
      </c>
    </row>
    <row r="431" spans="1:18" ht="24" customHeight="1">
      <c r="A431" s="23">
        <f t="shared" si="27"/>
        <v>430</v>
      </c>
      <c r="O431">
        <f t="shared" si="26"/>
        <v>492</v>
      </c>
      <c r="P431" t="str">
        <f t="shared" si="24"/>
        <v>00-Jan-00 -00:00:00- 00:00:00</v>
      </c>
      <c r="R431" t="str">
        <f t="shared" si="25"/>
        <v>00:00:00- 00:00:00-</v>
      </c>
    </row>
    <row r="432" spans="1:18" ht="24" customHeight="1">
      <c r="A432" s="23">
        <f t="shared" si="27"/>
        <v>431</v>
      </c>
      <c r="O432">
        <f t="shared" si="26"/>
        <v>492</v>
      </c>
      <c r="P432" t="str">
        <f t="shared" si="24"/>
        <v>00-Jan-00 -00:00:00- 00:00:00</v>
      </c>
      <c r="R432" t="str">
        <f t="shared" si="25"/>
        <v>00:00:00- 00:00:00-</v>
      </c>
    </row>
    <row r="433" spans="1:18" ht="24" customHeight="1">
      <c r="A433" s="23">
        <f t="shared" si="27"/>
        <v>432</v>
      </c>
      <c r="O433">
        <f t="shared" si="26"/>
        <v>492</v>
      </c>
      <c r="P433" t="str">
        <f t="shared" si="24"/>
        <v>00-Jan-00 -00:00:00- 00:00:00</v>
      </c>
      <c r="R433" t="str">
        <f t="shared" si="25"/>
        <v>00:00:00- 00:00:00-</v>
      </c>
    </row>
    <row r="434" spans="1:18" ht="24" customHeight="1">
      <c r="A434" s="23">
        <f t="shared" si="27"/>
        <v>433</v>
      </c>
      <c r="O434">
        <f t="shared" si="26"/>
        <v>492</v>
      </c>
      <c r="P434" t="str">
        <f t="shared" si="24"/>
        <v>00-Jan-00 -00:00:00- 00:00:00</v>
      </c>
      <c r="R434" t="str">
        <f t="shared" si="25"/>
        <v>00:00:00- 00:00:00-</v>
      </c>
    </row>
    <row r="435" spans="1:18" ht="24" customHeight="1">
      <c r="A435" s="23">
        <f t="shared" si="27"/>
        <v>434</v>
      </c>
      <c r="O435">
        <f t="shared" si="26"/>
        <v>492</v>
      </c>
      <c r="P435" t="str">
        <f t="shared" si="24"/>
        <v>00-Jan-00 -00:00:00- 00:00:00</v>
      </c>
      <c r="R435" t="str">
        <f t="shared" si="25"/>
        <v>00:00:00- 00:00:00-</v>
      </c>
    </row>
    <row r="436" spans="1:18" ht="24" customHeight="1">
      <c r="A436" s="23">
        <f t="shared" si="27"/>
        <v>435</v>
      </c>
      <c r="O436">
        <f t="shared" si="26"/>
        <v>492</v>
      </c>
      <c r="P436" t="str">
        <f t="shared" si="24"/>
        <v>00-Jan-00 -00:00:00- 00:00:00</v>
      </c>
      <c r="R436" t="str">
        <f t="shared" si="25"/>
        <v>00:00:00- 00:00:00-</v>
      </c>
    </row>
    <row r="437" spans="1:18" ht="24" customHeight="1">
      <c r="A437" s="23">
        <f t="shared" si="27"/>
        <v>436</v>
      </c>
      <c r="O437">
        <f t="shared" si="26"/>
        <v>492</v>
      </c>
      <c r="P437" t="str">
        <f t="shared" si="24"/>
        <v>00-Jan-00 -00:00:00- 00:00:00</v>
      </c>
      <c r="R437" t="str">
        <f t="shared" si="25"/>
        <v>00:00:00- 00:00:00-</v>
      </c>
    </row>
    <row r="438" spans="1:18" ht="24" customHeight="1">
      <c r="A438" s="23">
        <f t="shared" si="27"/>
        <v>437</v>
      </c>
      <c r="O438">
        <f t="shared" si="26"/>
        <v>492</v>
      </c>
      <c r="P438" t="str">
        <f t="shared" si="24"/>
        <v>00-Jan-00 -00:00:00- 00:00:00</v>
      </c>
      <c r="R438" t="str">
        <f t="shared" si="25"/>
        <v>00:00:00- 00:00:00-</v>
      </c>
    </row>
    <row r="439" spans="1:18" ht="24" customHeight="1">
      <c r="A439" s="23">
        <f t="shared" si="27"/>
        <v>438</v>
      </c>
      <c r="O439">
        <f t="shared" si="26"/>
        <v>492</v>
      </c>
      <c r="P439" t="str">
        <f t="shared" si="24"/>
        <v>00-Jan-00 -00:00:00- 00:00:00</v>
      </c>
      <c r="R439" t="str">
        <f t="shared" si="25"/>
        <v>00:00:00- 00:00:00-</v>
      </c>
    </row>
    <row r="440" spans="1:18" ht="24" customHeight="1">
      <c r="A440" s="23">
        <f t="shared" si="27"/>
        <v>439</v>
      </c>
      <c r="O440">
        <f t="shared" si="26"/>
        <v>492</v>
      </c>
      <c r="P440" t="str">
        <f t="shared" si="24"/>
        <v>00-Jan-00 -00:00:00- 00:00:00</v>
      </c>
      <c r="R440" t="str">
        <f t="shared" si="25"/>
        <v>00:00:00- 00:00:00-</v>
      </c>
    </row>
    <row r="441" spans="1:18" ht="24" customHeight="1">
      <c r="A441" s="23">
        <f t="shared" si="27"/>
        <v>440</v>
      </c>
      <c r="O441">
        <f t="shared" si="26"/>
        <v>492</v>
      </c>
      <c r="P441" t="str">
        <f t="shared" si="24"/>
        <v>00-Jan-00 -00:00:00- 00:00:00</v>
      </c>
      <c r="R441" t="str">
        <f t="shared" si="25"/>
        <v>00:00:00- 00:00:00-</v>
      </c>
    </row>
    <row r="442" spans="1:18" ht="24" customHeight="1">
      <c r="A442" s="23">
        <f t="shared" si="27"/>
        <v>441</v>
      </c>
      <c r="O442">
        <f t="shared" si="26"/>
        <v>492</v>
      </c>
      <c r="P442" t="str">
        <f t="shared" si="24"/>
        <v>00-Jan-00 -00:00:00- 00:00:00</v>
      </c>
      <c r="R442" t="str">
        <f t="shared" si="25"/>
        <v>00:00:00- 00:00:00-</v>
      </c>
    </row>
    <row r="443" spans="1:18" ht="24" customHeight="1">
      <c r="A443" s="23">
        <f t="shared" si="27"/>
        <v>442</v>
      </c>
      <c r="O443">
        <f t="shared" si="26"/>
        <v>492</v>
      </c>
      <c r="P443" t="str">
        <f t="shared" si="24"/>
        <v>00-Jan-00 -00:00:00- 00:00:00</v>
      </c>
      <c r="R443" t="str">
        <f t="shared" si="25"/>
        <v>00:00:00- 00:00:00-</v>
      </c>
    </row>
    <row r="444" spans="1:18" ht="24" customHeight="1">
      <c r="A444" s="23">
        <f t="shared" si="27"/>
        <v>443</v>
      </c>
      <c r="O444">
        <f t="shared" si="26"/>
        <v>492</v>
      </c>
      <c r="P444" t="str">
        <f t="shared" si="24"/>
        <v>00-Jan-00 -00:00:00- 00:00:00</v>
      </c>
      <c r="R444" t="str">
        <f t="shared" si="25"/>
        <v>00:00:00- 00:00:00-</v>
      </c>
    </row>
    <row r="445" spans="1:18" ht="24" customHeight="1">
      <c r="A445" s="23">
        <f t="shared" si="27"/>
        <v>444</v>
      </c>
      <c r="O445">
        <f t="shared" si="26"/>
        <v>492</v>
      </c>
      <c r="P445" t="str">
        <f t="shared" si="24"/>
        <v>00-Jan-00 -00:00:00- 00:00:00</v>
      </c>
      <c r="R445" t="str">
        <f t="shared" si="25"/>
        <v>00:00:00- 00:00:00-</v>
      </c>
    </row>
    <row r="446" spans="1:18" ht="24" customHeight="1">
      <c r="A446" s="23">
        <f t="shared" si="27"/>
        <v>445</v>
      </c>
      <c r="O446">
        <f t="shared" si="26"/>
        <v>492</v>
      </c>
      <c r="P446" t="str">
        <f t="shared" si="24"/>
        <v>00-Jan-00 -00:00:00- 00:00:00</v>
      </c>
      <c r="R446" t="str">
        <f t="shared" si="25"/>
        <v>00:00:00- 00:00:00-</v>
      </c>
    </row>
    <row r="447" spans="1:18" ht="24" customHeight="1">
      <c r="A447" s="23">
        <f t="shared" si="27"/>
        <v>446</v>
      </c>
      <c r="O447">
        <f t="shared" si="26"/>
        <v>492</v>
      </c>
      <c r="P447" t="str">
        <f t="shared" si="24"/>
        <v>00-Jan-00 -00:00:00- 00:00:00</v>
      </c>
      <c r="R447" t="str">
        <f t="shared" si="25"/>
        <v>00:00:00- 00:00:00-</v>
      </c>
    </row>
    <row r="448" spans="1:18" ht="24" customHeight="1">
      <c r="A448" s="23">
        <f t="shared" si="27"/>
        <v>447</v>
      </c>
      <c r="O448">
        <f t="shared" si="26"/>
        <v>492</v>
      </c>
      <c r="P448" t="str">
        <f t="shared" ref="P448:P497" si="28">_xlfn.CONCAT(TEXT(DATE(YEAR(B448),MONTH(B448),DAY(B448)),"DD-MMM-YY")," ",G448,,"-",TEXT(TIME(HOUR(H448),MINUTE(H448),SECOND(H448)),"HH:MM:SS"),"- ",TEXT(TIME(HOUR(I448),MINUTE(I448),HOUR(I448)),"Hh:MM:SS"))</f>
        <v>00-Jan-00 -00:00:00- 00:00:00</v>
      </c>
      <c r="R448" t="str">
        <f t="shared" ref="R448:R497" si="29">(_xlfn.CONCAT(TEXT(TIME(HOUR(H448),MINUTE(H448),SECOND(H448)),"HH:MM:SS"),"- ",TEXT(TIME(HOUR(I448),MINUTE(I448),HOUR(I448)),"Hh:MM:SS"),"-",G448))</f>
        <v>00:00:00- 00:00:00-</v>
      </c>
    </row>
    <row r="449" spans="1:18" ht="24" customHeight="1">
      <c r="A449" s="23">
        <f t="shared" si="27"/>
        <v>448</v>
      </c>
      <c r="O449">
        <f t="shared" si="26"/>
        <v>492</v>
      </c>
      <c r="P449" t="str">
        <f t="shared" si="28"/>
        <v>00-Jan-00 -00:00:00- 00:00:00</v>
      </c>
      <c r="R449" t="str">
        <f t="shared" si="29"/>
        <v>00:00:00- 00:00:00-</v>
      </c>
    </row>
    <row r="450" spans="1:18" ht="24" customHeight="1">
      <c r="A450" s="23">
        <f t="shared" si="27"/>
        <v>449</v>
      </c>
      <c r="O450">
        <f t="shared" ref="O450:O497" si="30">COUNTIF($P$2:$P$1048576,P450)</f>
        <v>492</v>
      </c>
      <c r="P450" t="str">
        <f t="shared" si="28"/>
        <v>00-Jan-00 -00:00:00- 00:00:00</v>
      </c>
      <c r="R450" t="str">
        <f t="shared" si="29"/>
        <v>00:00:00- 00:00:00-</v>
      </c>
    </row>
    <row r="451" spans="1:18" ht="24" customHeight="1">
      <c r="A451" s="23">
        <f t="shared" ref="A451:A498" si="31">A450+1</f>
        <v>450</v>
      </c>
      <c r="O451">
        <f t="shared" si="30"/>
        <v>492</v>
      </c>
      <c r="P451" t="str">
        <f t="shared" si="28"/>
        <v>00-Jan-00 -00:00:00- 00:00:00</v>
      </c>
      <c r="R451" t="str">
        <f t="shared" si="29"/>
        <v>00:00:00- 00:00:00-</v>
      </c>
    </row>
    <row r="452" spans="1:18" ht="24" customHeight="1">
      <c r="A452" s="23">
        <f t="shared" si="31"/>
        <v>451</v>
      </c>
      <c r="O452">
        <f t="shared" si="30"/>
        <v>492</v>
      </c>
      <c r="P452" t="str">
        <f t="shared" si="28"/>
        <v>00-Jan-00 -00:00:00- 00:00:00</v>
      </c>
      <c r="R452" t="str">
        <f t="shared" si="29"/>
        <v>00:00:00- 00:00:00-</v>
      </c>
    </row>
    <row r="453" spans="1:18" ht="24" customHeight="1">
      <c r="A453" s="23">
        <f t="shared" si="31"/>
        <v>452</v>
      </c>
      <c r="O453">
        <f t="shared" si="30"/>
        <v>492</v>
      </c>
      <c r="P453" t="str">
        <f t="shared" si="28"/>
        <v>00-Jan-00 -00:00:00- 00:00:00</v>
      </c>
      <c r="R453" t="str">
        <f t="shared" si="29"/>
        <v>00:00:00- 00:00:00-</v>
      </c>
    </row>
    <row r="454" spans="1:18" ht="24" customHeight="1">
      <c r="A454" s="23">
        <f t="shared" si="31"/>
        <v>453</v>
      </c>
      <c r="O454">
        <f t="shared" si="30"/>
        <v>492</v>
      </c>
      <c r="P454" t="str">
        <f t="shared" si="28"/>
        <v>00-Jan-00 -00:00:00- 00:00:00</v>
      </c>
      <c r="R454" t="str">
        <f t="shared" si="29"/>
        <v>00:00:00- 00:00:00-</v>
      </c>
    </row>
    <row r="455" spans="1:18" ht="24" customHeight="1">
      <c r="A455" s="23">
        <f t="shared" si="31"/>
        <v>454</v>
      </c>
      <c r="O455">
        <f t="shared" si="30"/>
        <v>492</v>
      </c>
      <c r="P455" t="str">
        <f t="shared" si="28"/>
        <v>00-Jan-00 -00:00:00- 00:00:00</v>
      </c>
      <c r="R455" t="str">
        <f t="shared" si="29"/>
        <v>00:00:00- 00:00:00-</v>
      </c>
    </row>
    <row r="456" spans="1:18" ht="24" customHeight="1">
      <c r="A456" s="23">
        <f t="shared" si="31"/>
        <v>455</v>
      </c>
      <c r="O456">
        <f t="shared" si="30"/>
        <v>492</v>
      </c>
      <c r="P456" t="str">
        <f t="shared" si="28"/>
        <v>00-Jan-00 -00:00:00- 00:00:00</v>
      </c>
      <c r="R456" t="str">
        <f t="shared" si="29"/>
        <v>00:00:00- 00:00:00-</v>
      </c>
    </row>
    <row r="457" spans="1:18" ht="24" customHeight="1">
      <c r="A457" s="23">
        <f t="shared" si="31"/>
        <v>456</v>
      </c>
      <c r="O457">
        <f t="shared" si="30"/>
        <v>492</v>
      </c>
      <c r="P457" t="str">
        <f t="shared" si="28"/>
        <v>00-Jan-00 -00:00:00- 00:00:00</v>
      </c>
      <c r="R457" t="str">
        <f t="shared" si="29"/>
        <v>00:00:00- 00:00:00-</v>
      </c>
    </row>
    <row r="458" spans="1:18" ht="24" customHeight="1">
      <c r="A458" s="23">
        <f t="shared" si="31"/>
        <v>457</v>
      </c>
      <c r="O458">
        <f t="shared" si="30"/>
        <v>492</v>
      </c>
      <c r="P458" t="str">
        <f t="shared" si="28"/>
        <v>00-Jan-00 -00:00:00- 00:00:00</v>
      </c>
      <c r="R458" t="str">
        <f t="shared" si="29"/>
        <v>00:00:00- 00:00:00-</v>
      </c>
    </row>
    <row r="459" spans="1:18" ht="24" customHeight="1">
      <c r="A459" s="23">
        <f t="shared" si="31"/>
        <v>458</v>
      </c>
      <c r="O459">
        <f t="shared" si="30"/>
        <v>492</v>
      </c>
      <c r="P459" t="str">
        <f t="shared" si="28"/>
        <v>00-Jan-00 -00:00:00- 00:00:00</v>
      </c>
      <c r="R459" t="str">
        <f t="shared" si="29"/>
        <v>00:00:00- 00:00:00-</v>
      </c>
    </row>
    <row r="460" spans="1:18" ht="24" customHeight="1">
      <c r="A460" s="23">
        <f t="shared" si="31"/>
        <v>459</v>
      </c>
      <c r="O460">
        <f t="shared" si="30"/>
        <v>492</v>
      </c>
      <c r="P460" t="str">
        <f t="shared" si="28"/>
        <v>00-Jan-00 -00:00:00- 00:00:00</v>
      </c>
      <c r="R460" t="str">
        <f t="shared" si="29"/>
        <v>00:00:00- 00:00:00-</v>
      </c>
    </row>
    <row r="461" spans="1:18" ht="24" customHeight="1">
      <c r="A461" s="23">
        <f t="shared" si="31"/>
        <v>460</v>
      </c>
      <c r="O461">
        <f t="shared" si="30"/>
        <v>492</v>
      </c>
      <c r="P461" t="str">
        <f t="shared" si="28"/>
        <v>00-Jan-00 -00:00:00- 00:00:00</v>
      </c>
      <c r="R461" t="str">
        <f t="shared" si="29"/>
        <v>00:00:00- 00:00:00-</v>
      </c>
    </row>
    <row r="462" spans="1:18" ht="24" customHeight="1">
      <c r="A462" s="23">
        <f t="shared" si="31"/>
        <v>461</v>
      </c>
      <c r="O462">
        <f t="shared" si="30"/>
        <v>492</v>
      </c>
      <c r="P462" t="str">
        <f t="shared" si="28"/>
        <v>00-Jan-00 -00:00:00- 00:00:00</v>
      </c>
      <c r="R462" t="str">
        <f t="shared" si="29"/>
        <v>00:00:00- 00:00:00-</v>
      </c>
    </row>
    <row r="463" spans="1:18" ht="24" customHeight="1">
      <c r="A463" s="23">
        <f t="shared" si="31"/>
        <v>462</v>
      </c>
      <c r="O463">
        <f t="shared" si="30"/>
        <v>492</v>
      </c>
      <c r="P463" t="str">
        <f t="shared" si="28"/>
        <v>00-Jan-00 -00:00:00- 00:00:00</v>
      </c>
      <c r="R463" t="str">
        <f t="shared" si="29"/>
        <v>00:00:00- 00:00:00-</v>
      </c>
    </row>
    <row r="464" spans="1:18" ht="24" customHeight="1">
      <c r="A464" s="23">
        <f t="shared" si="31"/>
        <v>463</v>
      </c>
      <c r="O464">
        <f t="shared" si="30"/>
        <v>492</v>
      </c>
      <c r="P464" t="str">
        <f t="shared" si="28"/>
        <v>00-Jan-00 -00:00:00- 00:00:00</v>
      </c>
      <c r="R464" t="str">
        <f t="shared" si="29"/>
        <v>00:00:00- 00:00:00-</v>
      </c>
    </row>
    <row r="465" spans="1:18" ht="24" customHeight="1">
      <c r="A465" s="23">
        <f t="shared" si="31"/>
        <v>464</v>
      </c>
      <c r="O465">
        <f t="shared" si="30"/>
        <v>492</v>
      </c>
      <c r="P465" t="str">
        <f t="shared" si="28"/>
        <v>00-Jan-00 -00:00:00- 00:00:00</v>
      </c>
      <c r="R465" t="str">
        <f t="shared" si="29"/>
        <v>00:00:00- 00:00:00-</v>
      </c>
    </row>
    <row r="466" spans="1:18" ht="24" customHeight="1">
      <c r="A466" s="23">
        <f t="shared" si="31"/>
        <v>465</v>
      </c>
      <c r="O466">
        <f t="shared" si="30"/>
        <v>492</v>
      </c>
      <c r="P466" t="str">
        <f t="shared" si="28"/>
        <v>00-Jan-00 -00:00:00- 00:00:00</v>
      </c>
      <c r="R466" t="str">
        <f t="shared" si="29"/>
        <v>00:00:00- 00:00:00-</v>
      </c>
    </row>
    <row r="467" spans="1:18" ht="24" customHeight="1">
      <c r="A467" s="23">
        <f t="shared" si="31"/>
        <v>466</v>
      </c>
      <c r="O467">
        <f t="shared" si="30"/>
        <v>492</v>
      </c>
      <c r="P467" t="str">
        <f t="shared" si="28"/>
        <v>00-Jan-00 -00:00:00- 00:00:00</v>
      </c>
      <c r="R467" t="str">
        <f t="shared" si="29"/>
        <v>00:00:00- 00:00:00-</v>
      </c>
    </row>
    <row r="468" spans="1:18" ht="24" customHeight="1">
      <c r="A468" s="23">
        <f t="shared" si="31"/>
        <v>467</v>
      </c>
      <c r="O468">
        <f t="shared" si="30"/>
        <v>492</v>
      </c>
      <c r="P468" t="str">
        <f t="shared" si="28"/>
        <v>00-Jan-00 -00:00:00- 00:00:00</v>
      </c>
      <c r="R468" t="str">
        <f t="shared" si="29"/>
        <v>00:00:00- 00:00:00-</v>
      </c>
    </row>
    <row r="469" spans="1:18" ht="24" customHeight="1">
      <c r="A469" s="23">
        <f t="shared" si="31"/>
        <v>468</v>
      </c>
      <c r="O469">
        <f t="shared" si="30"/>
        <v>492</v>
      </c>
      <c r="P469" t="str">
        <f t="shared" si="28"/>
        <v>00-Jan-00 -00:00:00- 00:00:00</v>
      </c>
      <c r="R469" t="str">
        <f t="shared" si="29"/>
        <v>00:00:00- 00:00:00-</v>
      </c>
    </row>
    <row r="470" spans="1:18" ht="24" customHeight="1">
      <c r="A470" s="23">
        <f t="shared" si="31"/>
        <v>469</v>
      </c>
      <c r="O470">
        <f t="shared" si="30"/>
        <v>492</v>
      </c>
      <c r="P470" t="str">
        <f t="shared" si="28"/>
        <v>00-Jan-00 -00:00:00- 00:00:00</v>
      </c>
      <c r="R470" t="str">
        <f t="shared" si="29"/>
        <v>00:00:00- 00:00:00-</v>
      </c>
    </row>
    <row r="471" spans="1:18" ht="24" customHeight="1">
      <c r="A471" s="23">
        <f t="shared" si="31"/>
        <v>470</v>
      </c>
      <c r="O471">
        <f t="shared" si="30"/>
        <v>492</v>
      </c>
      <c r="P471" t="str">
        <f t="shared" si="28"/>
        <v>00-Jan-00 -00:00:00- 00:00:00</v>
      </c>
      <c r="R471" t="str">
        <f t="shared" si="29"/>
        <v>00:00:00- 00:00:00-</v>
      </c>
    </row>
    <row r="472" spans="1:18" ht="24" customHeight="1">
      <c r="A472" s="23">
        <f t="shared" si="31"/>
        <v>471</v>
      </c>
      <c r="O472">
        <f t="shared" si="30"/>
        <v>492</v>
      </c>
      <c r="P472" t="str">
        <f t="shared" si="28"/>
        <v>00-Jan-00 -00:00:00- 00:00:00</v>
      </c>
      <c r="R472" t="str">
        <f t="shared" si="29"/>
        <v>00:00:00- 00:00:00-</v>
      </c>
    </row>
    <row r="473" spans="1:18" ht="24" customHeight="1">
      <c r="A473" s="23">
        <f t="shared" si="31"/>
        <v>472</v>
      </c>
      <c r="O473">
        <f t="shared" si="30"/>
        <v>492</v>
      </c>
      <c r="P473" t="str">
        <f t="shared" si="28"/>
        <v>00-Jan-00 -00:00:00- 00:00:00</v>
      </c>
      <c r="R473" t="str">
        <f t="shared" si="29"/>
        <v>00:00:00- 00:00:00-</v>
      </c>
    </row>
    <row r="474" spans="1:18" ht="24" customHeight="1">
      <c r="A474" s="23">
        <f t="shared" si="31"/>
        <v>473</v>
      </c>
      <c r="O474">
        <f t="shared" si="30"/>
        <v>492</v>
      </c>
      <c r="P474" t="str">
        <f t="shared" si="28"/>
        <v>00-Jan-00 -00:00:00- 00:00:00</v>
      </c>
      <c r="R474" t="str">
        <f t="shared" si="29"/>
        <v>00:00:00- 00:00:00-</v>
      </c>
    </row>
    <row r="475" spans="1:18" ht="24" customHeight="1">
      <c r="A475" s="23">
        <f t="shared" si="31"/>
        <v>474</v>
      </c>
      <c r="O475">
        <f t="shared" si="30"/>
        <v>492</v>
      </c>
      <c r="P475" t="str">
        <f t="shared" si="28"/>
        <v>00-Jan-00 -00:00:00- 00:00:00</v>
      </c>
      <c r="R475" t="str">
        <f t="shared" si="29"/>
        <v>00:00:00- 00:00:00-</v>
      </c>
    </row>
    <row r="476" spans="1:18" ht="24" customHeight="1">
      <c r="A476" s="23">
        <f t="shared" si="31"/>
        <v>475</v>
      </c>
      <c r="O476">
        <f t="shared" si="30"/>
        <v>492</v>
      </c>
      <c r="P476" t="str">
        <f t="shared" si="28"/>
        <v>00-Jan-00 -00:00:00- 00:00:00</v>
      </c>
      <c r="R476" t="str">
        <f t="shared" si="29"/>
        <v>00:00:00- 00:00:00-</v>
      </c>
    </row>
    <row r="477" spans="1:18" ht="24" customHeight="1">
      <c r="A477" s="23">
        <f t="shared" si="31"/>
        <v>476</v>
      </c>
      <c r="O477">
        <f t="shared" si="30"/>
        <v>492</v>
      </c>
      <c r="P477" t="str">
        <f t="shared" si="28"/>
        <v>00-Jan-00 -00:00:00- 00:00:00</v>
      </c>
      <c r="R477" t="str">
        <f t="shared" si="29"/>
        <v>00:00:00- 00:00:00-</v>
      </c>
    </row>
    <row r="478" spans="1:18" ht="24" customHeight="1">
      <c r="A478" s="23">
        <f t="shared" si="31"/>
        <v>477</v>
      </c>
      <c r="O478">
        <f t="shared" si="30"/>
        <v>492</v>
      </c>
      <c r="P478" t="str">
        <f t="shared" si="28"/>
        <v>00-Jan-00 -00:00:00- 00:00:00</v>
      </c>
      <c r="R478" t="str">
        <f t="shared" si="29"/>
        <v>00:00:00- 00:00:00-</v>
      </c>
    </row>
    <row r="479" spans="1:18" ht="24" customHeight="1">
      <c r="A479" s="23">
        <f t="shared" si="31"/>
        <v>478</v>
      </c>
      <c r="O479">
        <f t="shared" si="30"/>
        <v>492</v>
      </c>
      <c r="P479" t="str">
        <f t="shared" si="28"/>
        <v>00-Jan-00 -00:00:00- 00:00:00</v>
      </c>
      <c r="R479" t="str">
        <f t="shared" si="29"/>
        <v>00:00:00- 00:00:00-</v>
      </c>
    </row>
    <row r="480" spans="1:18" ht="24" customHeight="1">
      <c r="A480" s="23">
        <f t="shared" si="31"/>
        <v>479</v>
      </c>
      <c r="O480">
        <f t="shared" si="30"/>
        <v>492</v>
      </c>
      <c r="P480" t="str">
        <f t="shared" si="28"/>
        <v>00-Jan-00 -00:00:00- 00:00:00</v>
      </c>
      <c r="R480" t="str">
        <f t="shared" si="29"/>
        <v>00:00:00- 00:00:00-</v>
      </c>
    </row>
    <row r="481" spans="1:18" ht="24" customHeight="1">
      <c r="A481" s="23">
        <f t="shared" si="31"/>
        <v>480</v>
      </c>
      <c r="O481">
        <f t="shared" si="30"/>
        <v>492</v>
      </c>
      <c r="P481" t="str">
        <f t="shared" si="28"/>
        <v>00-Jan-00 -00:00:00- 00:00:00</v>
      </c>
      <c r="R481" t="str">
        <f t="shared" si="29"/>
        <v>00:00:00- 00:00:00-</v>
      </c>
    </row>
    <row r="482" spans="1:18" ht="24" customHeight="1">
      <c r="A482" s="23">
        <f t="shared" si="31"/>
        <v>481</v>
      </c>
      <c r="O482">
        <f t="shared" si="30"/>
        <v>492</v>
      </c>
      <c r="P482" t="str">
        <f t="shared" si="28"/>
        <v>00-Jan-00 -00:00:00- 00:00:00</v>
      </c>
      <c r="R482" t="str">
        <f t="shared" si="29"/>
        <v>00:00:00- 00:00:00-</v>
      </c>
    </row>
    <row r="483" spans="1:18" ht="24" customHeight="1">
      <c r="A483" s="23">
        <f t="shared" si="31"/>
        <v>482</v>
      </c>
      <c r="O483">
        <f t="shared" si="30"/>
        <v>492</v>
      </c>
      <c r="P483" t="str">
        <f t="shared" si="28"/>
        <v>00-Jan-00 -00:00:00- 00:00:00</v>
      </c>
      <c r="R483" t="str">
        <f t="shared" si="29"/>
        <v>00:00:00- 00:00:00-</v>
      </c>
    </row>
    <row r="484" spans="1:18" ht="24" customHeight="1">
      <c r="A484" s="23">
        <f t="shared" si="31"/>
        <v>483</v>
      </c>
      <c r="O484">
        <f t="shared" si="30"/>
        <v>492</v>
      </c>
      <c r="P484" t="str">
        <f t="shared" si="28"/>
        <v>00-Jan-00 -00:00:00- 00:00:00</v>
      </c>
      <c r="R484" t="str">
        <f t="shared" si="29"/>
        <v>00:00:00- 00:00:00-</v>
      </c>
    </row>
    <row r="485" spans="1:18" ht="24" customHeight="1">
      <c r="A485" s="23">
        <f t="shared" si="31"/>
        <v>484</v>
      </c>
      <c r="O485">
        <f t="shared" si="30"/>
        <v>492</v>
      </c>
      <c r="P485" t="str">
        <f t="shared" si="28"/>
        <v>00-Jan-00 -00:00:00- 00:00:00</v>
      </c>
      <c r="R485" t="str">
        <f t="shared" si="29"/>
        <v>00:00:00- 00:00:00-</v>
      </c>
    </row>
    <row r="486" spans="1:18" ht="24" customHeight="1">
      <c r="A486" s="23">
        <f t="shared" si="31"/>
        <v>485</v>
      </c>
      <c r="O486">
        <f t="shared" si="30"/>
        <v>492</v>
      </c>
      <c r="P486" t="str">
        <f t="shared" si="28"/>
        <v>00-Jan-00 -00:00:00- 00:00:00</v>
      </c>
      <c r="R486" t="str">
        <f t="shared" si="29"/>
        <v>00:00:00- 00:00:00-</v>
      </c>
    </row>
    <row r="487" spans="1:18" ht="24" customHeight="1">
      <c r="A487" s="23">
        <f t="shared" si="31"/>
        <v>486</v>
      </c>
      <c r="O487">
        <f t="shared" si="30"/>
        <v>492</v>
      </c>
      <c r="P487" t="str">
        <f t="shared" si="28"/>
        <v>00-Jan-00 -00:00:00- 00:00:00</v>
      </c>
      <c r="R487" t="str">
        <f t="shared" si="29"/>
        <v>00:00:00- 00:00:00-</v>
      </c>
    </row>
    <row r="488" spans="1:18" ht="24" customHeight="1">
      <c r="A488" s="23">
        <f t="shared" si="31"/>
        <v>487</v>
      </c>
      <c r="O488">
        <f t="shared" si="30"/>
        <v>492</v>
      </c>
      <c r="P488" t="str">
        <f t="shared" si="28"/>
        <v>00-Jan-00 -00:00:00- 00:00:00</v>
      </c>
      <c r="R488" t="str">
        <f t="shared" si="29"/>
        <v>00:00:00- 00:00:00-</v>
      </c>
    </row>
    <row r="489" spans="1:18" ht="24" customHeight="1">
      <c r="A489" s="23">
        <f t="shared" si="31"/>
        <v>488</v>
      </c>
      <c r="O489">
        <f t="shared" si="30"/>
        <v>492</v>
      </c>
      <c r="P489" t="str">
        <f t="shared" si="28"/>
        <v>00-Jan-00 -00:00:00- 00:00:00</v>
      </c>
      <c r="R489" t="str">
        <f t="shared" si="29"/>
        <v>00:00:00- 00:00:00-</v>
      </c>
    </row>
    <row r="490" spans="1:18" ht="24" customHeight="1">
      <c r="A490" s="23">
        <f t="shared" si="31"/>
        <v>489</v>
      </c>
      <c r="O490">
        <f t="shared" si="30"/>
        <v>492</v>
      </c>
      <c r="P490" t="str">
        <f t="shared" si="28"/>
        <v>00-Jan-00 -00:00:00- 00:00:00</v>
      </c>
      <c r="R490" t="str">
        <f t="shared" si="29"/>
        <v>00:00:00- 00:00:00-</v>
      </c>
    </row>
    <row r="491" spans="1:18" ht="24" customHeight="1">
      <c r="A491" s="23">
        <f t="shared" si="31"/>
        <v>490</v>
      </c>
      <c r="O491">
        <f t="shared" si="30"/>
        <v>492</v>
      </c>
      <c r="P491" t="str">
        <f t="shared" si="28"/>
        <v>00-Jan-00 -00:00:00- 00:00:00</v>
      </c>
      <c r="R491" t="str">
        <f t="shared" si="29"/>
        <v>00:00:00- 00:00:00-</v>
      </c>
    </row>
    <row r="492" spans="1:18" ht="24" customHeight="1">
      <c r="A492" s="23">
        <f t="shared" si="31"/>
        <v>491</v>
      </c>
      <c r="O492">
        <f t="shared" si="30"/>
        <v>492</v>
      </c>
      <c r="P492" t="str">
        <f t="shared" si="28"/>
        <v>00-Jan-00 -00:00:00- 00:00:00</v>
      </c>
      <c r="R492" t="str">
        <f t="shared" si="29"/>
        <v>00:00:00- 00:00:00-</v>
      </c>
    </row>
    <row r="493" spans="1:18" ht="24" customHeight="1">
      <c r="A493" s="23">
        <f t="shared" si="31"/>
        <v>492</v>
      </c>
      <c r="O493">
        <f t="shared" si="30"/>
        <v>492</v>
      </c>
      <c r="P493" t="str">
        <f t="shared" si="28"/>
        <v>00-Jan-00 -00:00:00- 00:00:00</v>
      </c>
      <c r="R493" t="str">
        <f t="shared" si="29"/>
        <v>00:00:00- 00:00:00-</v>
      </c>
    </row>
    <row r="494" spans="1:18" ht="24" customHeight="1">
      <c r="A494" s="23">
        <f t="shared" si="31"/>
        <v>493</v>
      </c>
      <c r="O494">
        <f t="shared" si="30"/>
        <v>492</v>
      </c>
      <c r="P494" t="str">
        <f t="shared" si="28"/>
        <v>00-Jan-00 -00:00:00- 00:00:00</v>
      </c>
      <c r="R494" t="str">
        <f t="shared" si="29"/>
        <v>00:00:00- 00:00:00-</v>
      </c>
    </row>
    <row r="495" spans="1:18" ht="24" customHeight="1">
      <c r="A495" s="23">
        <f t="shared" si="31"/>
        <v>494</v>
      </c>
      <c r="O495">
        <f t="shared" si="30"/>
        <v>492</v>
      </c>
      <c r="P495" t="str">
        <f t="shared" si="28"/>
        <v>00-Jan-00 -00:00:00- 00:00:00</v>
      </c>
      <c r="R495" t="str">
        <f t="shared" si="29"/>
        <v>00:00:00- 00:00:00-</v>
      </c>
    </row>
    <row r="496" spans="1:18" ht="24" customHeight="1">
      <c r="A496" s="23">
        <f t="shared" si="31"/>
        <v>495</v>
      </c>
      <c r="O496">
        <f t="shared" si="30"/>
        <v>492</v>
      </c>
      <c r="P496" t="str">
        <f t="shared" si="28"/>
        <v>00-Jan-00 -00:00:00- 00:00:00</v>
      </c>
      <c r="R496" t="str">
        <f t="shared" si="29"/>
        <v>00:00:00- 00:00:00-</v>
      </c>
    </row>
    <row r="497" spans="1:18" ht="24" customHeight="1">
      <c r="A497" s="23">
        <f t="shared" si="31"/>
        <v>496</v>
      </c>
      <c r="O497">
        <f t="shared" si="30"/>
        <v>492</v>
      </c>
      <c r="P497" t="str">
        <f t="shared" si="28"/>
        <v>00-Jan-00 -00:00:00- 00:00:00</v>
      </c>
      <c r="R497" t="str">
        <f t="shared" si="29"/>
        <v>00:00:00- 00:00:00-</v>
      </c>
    </row>
    <row r="498" spans="1:18" ht="24" customHeight="1">
      <c r="A498" s="23">
        <f t="shared" si="31"/>
        <v>497</v>
      </c>
    </row>
  </sheetData>
  <autoFilter ref="A1:S498" xr:uid="{00000000-0009-0000-0000-000003000000}"/>
  <conditionalFormatting sqref="A1:O1 O2:O4 A6:O1048576 A2:A498 M5:O5">
    <cfRule type="expression" dxfId="19" priority="50">
      <formula>$O1=2</formula>
    </cfRule>
  </conditionalFormatting>
  <conditionalFormatting sqref="B2">
    <cfRule type="expression" dxfId="18" priority="31">
      <formula>$O2&gt;1</formula>
    </cfRule>
  </conditionalFormatting>
  <conditionalFormatting sqref="C2:G2">
    <cfRule type="expression" dxfId="17" priority="30">
      <formula>$O2&gt;1</formula>
    </cfRule>
  </conditionalFormatting>
  <conditionalFormatting sqref="H2:I2">
    <cfRule type="expression" dxfId="16" priority="29">
      <formula>$O2&gt;1</formula>
    </cfRule>
  </conditionalFormatting>
  <conditionalFormatting sqref="J2">
    <cfRule type="expression" dxfId="15" priority="28">
      <formula>$O2&gt;1</formula>
    </cfRule>
  </conditionalFormatting>
  <conditionalFormatting sqref="B3:B4">
    <cfRule type="expression" dxfId="14" priority="26">
      <formula>$O3&gt;1</formula>
    </cfRule>
  </conditionalFormatting>
  <conditionalFormatting sqref="C3:G3">
    <cfRule type="expression" dxfId="13" priority="25">
      <formula>$O3&gt;1</formula>
    </cfRule>
  </conditionalFormatting>
  <conditionalFormatting sqref="H3:I3">
    <cfRule type="expression" dxfId="12" priority="24">
      <formula>$O3&gt;1</formula>
    </cfRule>
  </conditionalFormatting>
  <conditionalFormatting sqref="J3">
    <cfRule type="expression" dxfId="11" priority="23">
      <formula>$O3&gt;1</formula>
    </cfRule>
  </conditionalFormatting>
  <conditionalFormatting sqref="J4">
    <cfRule type="expression" dxfId="10" priority="18">
      <formula>$M4&gt;1</formula>
    </cfRule>
  </conditionalFormatting>
  <conditionalFormatting sqref="K4:L4">
    <cfRule type="expression" dxfId="9" priority="17">
      <formula>$M4&gt;1</formula>
    </cfRule>
  </conditionalFormatting>
  <conditionalFormatting sqref="C4:G4">
    <cfRule type="expression" dxfId="8" priority="16">
      <formula>$O4&gt;1</formula>
    </cfRule>
  </conditionalFormatting>
  <conditionalFormatting sqref="H4:I4">
    <cfRule type="expression" dxfId="7" priority="15">
      <formula>$O4&gt;1</formula>
    </cfRule>
  </conditionalFormatting>
  <conditionalFormatting sqref="I5">
    <cfRule type="expression" dxfId="6" priority="3">
      <formula>$M5&gt;1</formula>
    </cfRule>
  </conditionalFormatting>
  <conditionalFormatting sqref="J5">
    <cfRule type="expression" dxfId="5" priority="2">
      <formula>$M5&gt;1</formula>
    </cfRule>
  </conditionalFormatting>
  <conditionalFormatting sqref="K5:L5">
    <cfRule type="expression" dxfId="4" priority="1">
      <formula>$M5&gt;1</formula>
    </cfRule>
  </conditionalFormatting>
  <conditionalFormatting sqref="B5:E5">
    <cfRule type="expression" dxfId="3" priority="4">
      <formula>$N7&gt;1</formula>
    </cfRule>
  </conditionalFormatting>
  <conditionalFormatting sqref="F5:G5">
    <cfRule type="expression" dxfId="2" priority="5">
      <formula>#REF!&gt;1</formula>
    </cfRule>
  </conditionalFormatting>
  <conditionalFormatting sqref="B5:L5">
    <cfRule type="containsBlanks" dxfId="1" priority="6">
      <formula>LEN(TRIM(B5))=0</formula>
    </cfRule>
  </conditionalFormatting>
  <conditionalFormatting sqref="H5">
    <cfRule type="expression" dxfId="0" priority="7">
      <formula>#REF!&gt;1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Validation_Sheet!$C$2:$C$26</xm:f>
          </x14:formula1>
          <xm:sqref>H6:I6</xm:sqref>
        </x14:dataValidation>
        <x14:dataValidation type="list" allowBlank="1" showInputMessage="1" showErrorMessage="1" xr:uid="{00000000-0002-0000-0300-000001000000}">
          <x14:formula1>
            <xm:f>Validation_Sheet!$B$2:$B$5</xm:f>
          </x14:formula1>
          <xm:sqref>G2:G12</xm:sqref>
        </x14:dataValidation>
        <x14:dataValidation type="list" allowBlank="1" showInputMessage="1" showErrorMessage="1" xr:uid="{00000000-0002-0000-0300-000002000000}">
          <x14:formula1>
            <xm:f>Validation_Sheet!$A$2:$A$3</xm:f>
          </x14:formula1>
          <xm:sqref>E2:E12</xm:sqref>
        </x14:dataValidation>
        <x14:dataValidation type="list" allowBlank="1" showInputMessage="1" showErrorMessage="1" xr:uid="{00000000-0002-0000-0300-000003000000}">
          <x14:formula1>
            <xm:f>Validation_Sheet!$C$2:$C996</xm:f>
          </x14:formula1>
          <xm:sqref>H7:I12</xm:sqref>
        </x14:dataValidation>
        <x14:dataValidation type="list" allowBlank="1" showInputMessage="1" showErrorMessage="1" xr:uid="{00000000-0002-0000-0300-000004000000}">
          <x14:formula1>
            <xm:f>Validation_Sheet!$C$2:$C989</xm:f>
          </x14:formula1>
          <xm:sqref>H2:I5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5:F13"/>
  <sheetViews>
    <sheetView workbookViewId="0">
      <selection activeCell="G12" sqref="G12"/>
    </sheetView>
  </sheetViews>
  <sheetFormatPr defaultRowHeight="15"/>
  <cols>
    <col min="2" max="2" width="14.7109375" bestFit="1" customWidth="1"/>
    <col min="3" max="3" width="25.140625" bestFit="1" customWidth="1"/>
    <col min="4" max="4" width="22" bestFit="1" customWidth="1"/>
    <col min="5" max="5" width="23.28515625" bestFit="1" customWidth="1"/>
    <col min="6" max="7" width="11.28515625" bestFit="1" customWidth="1"/>
    <col min="8" max="8" width="9.7109375" customWidth="1"/>
    <col min="9" max="9" width="22" customWidth="1"/>
    <col min="10" max="10" width="9.28515625" customWidth="1"/>
    <col min="11" max="11" width="11.28515625" customWidth="1"/>
    <col min="12" max="12" width="11.28515625" bestFit="1" customWidth="1"/>
    <col min="13" max="13" width="6.7109375" bestFit="1" customWidth="1"/>
    <col min="14" max="14" width="11.42578125" bestFit="1" customWidth="1"/>
    <col min="15" max="15" width="7.140625" bestFit="1" customWidth="1"/>
    <col min="16" max="16" width="6.7109375" bestFit="1" customWidth="1"/>
    <col min="17" max="17" width="10.140625" bestFit="1" customWidth="1"/>
    <col min="18" max="18" width="6.7109375" bestFit="1" customWidth="1"/>
    <col min="19" max="19" width="9.7109375" bestFit="1" customWidth="1"/>
    <col min="20" max="20" width="11.28515625" bestFit="1" customWidth="1"/>
  </cols>
  <sheetData>
    <row r="5" spans="2:6">
      <c r="B5" s="7" t="s">
        <v>14</v>
      </c>
      <c r="C5" t="s">
        <v>33</v>
      </c>
    </row>
    <row r="6" spans="2:6">
      <c r="B6" s="4"/>
      <c r="C6" s="3"/>
      <c r="D6" s="3"/>
    </row>
    <row r="7" spans="2:6">
      <c r="B7" s="7" t="s">
        <v>37</v>
      </c>
      <c r="C7" s="7" t="s">
        <v>34</v>
      </c>
    </row>
    <row r="8" spans="2:6">
      <c r="B8" s="7" t="s">
        <v>36</v>
      </c>
      <c r="C8" t="s">
        <v>3</v>
      </c>
      <c r="D8" t="s">
        <v>10</v>
      </c>
      <c r="E8" t="s">
        <v>9</v>
      </c>
      <c r="F8" t="s">
        <v>35</v>
      </c>
    </row>
    <row r="9" spans="2:6">
      <c r="B9" s="4" t="s">
        <v>6</v>
      </c>
      <c r="C9">
        <v>1</v>
      </c>
      <c r="D9">
        <v>1</v>
      </c>
      <c r="F9">
        <v>2</v>
      </c>
    </row>
    <row r="10" spans="2:6">
      <c r="B10" s="8" t="s">
        <v>38</v>
      </c>
      <c r="C10">
        <v>1</v>
      </c>
      <c r="D10">
        <v>1</v>
      </c>
      <c r="F10">
        <v>2</v>
      </c>
    </row>
    <row r="11" spans="2:6">
      <c r="B11" s="4" t="s">
        <v>7</v>
      </c>
      <c r="D11">
        <v>2</v>
      </c>
      <c r="E11">
        <v>1</v>
      </c>
      <c r="F11">
        <v>3</v>
      </c>
    </row>
    <row r="12" spans="2:6">
      <c r="B12" s="8" t="s">
        <v>38</v>
      </c>
      <c r="D12">
        <v>2</v>
      </c>
      <c r="E12">
        <v>1</v>
      </c>
      <c r="F12">
        <v>3</v>
      </c>
    </row>
    <row r="13" spans="2:6">
      <c r="B13" s="4" t="s">
        <v>35</v>
      </c>
      <c r="C13">
        <v>1</v>
      </c>
      <c r="D13">
        <v>3</v>
      </c>
      <c r="E13">
        <v>1</v>
      </c>
      <c r="F13">
        <v>5</v>
      </c>
    </row>
  </sheetData>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50"/>
  <sheetViews>
    <sheetView tabSelected="1" workbookViewId="0">
      <selection activeCell="J7" sqref="J7"/>
    </sheetView>
  </sheetViews>
  <sheetFormatPr defaultRowHeight="15"/>
  <cols>
    <col min="1" max="1" width="16.7109375" bestFit="1" customWidth="1"/>
    <col min="2" max="2" width="25" bestFit="1" customWidth="1"/>
    <col min="3" max="3" width="25" style="2" customWidth="1"/>
    <col min="4" max="4" width="9.140625" style="6"/>
  </cols>
  <sheetData>
    <row r="1" spans="1:4" ht="35.25" customHeight="1">
      <c r="A1" s="1" t="s">
        <v>5</v>
      </c>
      <c r="B1" s="1" t="s">
        <v>8</v>
      </c>
      <c r="C1" s="1" t="s">
        <v>12</v>
      </c>
      <c r="D1"/>
    </row>
    <row r="2" spans="1:4">
      <c r="A2" t="s">
        <v>70</v>
      </c>
      <c r="B2" t="s">
        <v>66</v>
      </c>
      <c r="C2" s="11">
        <v>0</v>
      </c>
      <c r="D2"/>
    </row>
    <row r="3" spans="1:4">
      <c r="A3" t="s">
        <v>71</v>
      </c>
      <c r="B3" t="s">
        <v>67</v>
      </c>
      <c r="C3" s="11">
        <f t="shared" ref="C3:C8" si="0">TIME(HOUR(C2)+1,MINUTE(C2)-30,0)</f>
        <v>2.0833333333333332E-2</v>
      </c>
      <c r="D3"/>
    </row>
    <row r="4" spans="1:4">
      <c r="B4" t="s">
        <v>68</v>
      </c>
      <c r="C4" s="11">
        <f t="shared" si="0"/>
        <v>4.1666666666666664E-2</v>
      </c>
      <c r="D4"/>
    </row>
    <row r="5" spans="1:4">
      <c r="B5" t="s">
        <v>69</v>
      </c>
      <c r="C5" s="11">
        <f t="shared" si="0"/>
        <v>6.25E-2</v>
      </c>
      <c r="D5"/>
    </row>
    <row r="6" spans="1:4">
      <c r="C6" s="11">
        <f t="shared" si="0"/>
        <v>8.3333333333333329E-2</v>
      </c>
      <c r="D6"/>
    </row>
    <row r="7" spans="1:4">
      <c r="C7" s="11">
        <f t="shared" si="0"/>
        <v>0.10416666666666667</v>
      </c>
      <c r="D7"/>
    </row>
    <row r="8" spans="1:4">
      <c r="C8" s="11">
        <f t="shared" si="0"/>
        <v>0.125</v>
      </c>
      <c r="D8"/>
    </row>
    <row r="9" spans="1:4">
      <c r="C9" s="11">
        <f t="shared" ref="C9:C49" si="1">TIME(HOUR(C8)+1,MINUTE(C8)-30,0)</f>
        <v>0.14583333333333334</v>
      </c>
      <c r="D9"/>
    </row>
    <row r="10" spans="1:4">
      <c r="C10" s="11">
        <f t="shared" si="1"/>
        <v>0.16666666666666666</v>
      </c>
      <c r="D10"/>
    </row>
    <row r="11" spans="1:4">
      <c r="C11" s="11">
        <f t="shared" si="1"/>
        <v>0.1875</v>
      </c>
      <c r="D11"/>
    </row>
    <row r="12" spans="1:4">
      <c r="C12" s="11">
        <f t="shared" si="1"/>
        <v>0.20833333333333334</v>
      </c>
      <c r="D12"/>
    </row>
    <row r="13" spans="1:4">
      <c r="C13" s="11">
        <f t="shared" si="1"/>
        <v>0.22916666666666666</v>
      </c>
      <c r="D13"/>
    </row>
    <row r="14" spans="1:4">
      <c r="C14" s="11">
        <f t="shared" si="1"/>
        <v>0.25</v>
      </c>
      <c r="D14" s="3"/>
    </row>
    <row r="15" spans="1:4">
      <c r="C15" s="11">
        <f t="shared" si="1"/>
        <v>0.27083333333333331</v>
      </c>
      <c r="D15" s="3"/>
    </row>
    <row r="16" spans="1:4">
      <c r="C16" s="11">
        <f t="shared" si="1"/>
        <v>0.29166666666666669</v>
      </c>
      <c r="D16" s="3"/>
    </row>
    <row r="17" spans="3:4">
      <c r="C17" s="11">
        <f t="shared" si="1"/>
        <v>0.3125</v>
      </c>
      <c r="D17" s="3"/>
    </row>
    <row r="18" spans="3:4">
      <c r="C18" s="11">
        <f t="shared" si="1"/>
        <v>0.33333333333333331</v>
      </c>
      <c r="D18" s="3"/>
    </row>
    <row r="19" spans="3:4">
      <c r="C19" s="11">
        <f t="shared" si="1"/>
        <v>0.35416666666666669</v>
      </c>
      <c r="D19" s="3"/>
    </row>
    <row r="20" spans="3:4">
      <c r="C20" s="11">
        <f t="shared" si="1"/>
        <v>0.375</v>
      </c>
      <c r="D20" s="3"/>
    </row>
    <row r="21" spans="3:4">
      <c r="C21" s="11">
        <f t="shared" si="1"/>
        <v>0.39583333333333331</v>
      </c>
      <c r="D21" s="3"/>
    </row>
    <row r="22" spans="3:4">
      <c r="C22" s="11">
        <f t="shared" si="1"/>
        <v>0.41666666666666669</v>
      </c>
      <c r="D22" s="3"/>
    </row>
    <row r="23" spans="3:4">
      <c r="C23" s="11">
        <f t="shared" si="1"/>
        <v>0.4375</v>
      </c>
      <c r="D23" s="3"/>
    </row>
    <row r="24" spans="3:4">
      <c r="C24" s="11">
        <f t="shared" si="1"/>
        <v>0.45833333333333331</v>
      </c>
      <c r="D24" s="3"/>
    </row>
    <row r="25" spans="3:4">
      <c r="C25" s="11">
        <f t="shared" si="1"/>
        <v>0.47916666666666669</v>
      </c>
      <c r="D25" s="3"/>
    </row>
    <row r="26" spans="3:4">
      <c r="C26" s="11">
        <f t="shared" si="1"/>
        <v>0.5</v>
      </c>
      <c r="D26" s="5"/>
    </row>
    <row r="27" spans="3:4">
      <c r="C27" s="11">
        <f t="shared" si="1"/>
        <v>0.52083333333333337</v>
      </c>
    </row>
    <row r="28" spans="3:4">
      <c r="C28" s="11">
        <f t="shared" si="1"/>
        <v>0.54166666666666663</v>
      </c>
    </row>
    <row r="29" spans="3:4">
      <c r="C29" s="11">
        <f t="shared" si="1"/>
        <v>0.5625</v>
      </c>
    </row>
    <row r="30" spans="3:4">
      <c r="C30" s="11">
        <f t="shared" si="1"/>
        <v>0.58333333333333337</v>
      </c>
    </row>
    <row r="31" spans="3:4">
      <c r="C31" s="11">
        <f t="shared" si="1"/>
        <v>0.60416666666666663</v>
      </c>
    </row>
    <row r="32" spans="3:4">
      <c r="C32" s="11">
        <f t="shared" si="1"/>
        <v>0.625</v>
      </c>
    </row>
    <row r="33" spans="3:3">
      <c r="C33" s="11">
        <f t="shared" si="1"/>
        <v>0.64583333333333337</v>
      </c>
    </row>
    <row r="34" spans="3:3">
      <c r="C34" s="11">
        <f t="shared" si="1"/>
        <v>0.66666666666666663</v>
      </c>
    </row>
    <row r="35" spans="3:3">
      <c r="C35" s="11">
        <f t="shared" si="1"/>
        <v>0.6875</v>
      </c>
    </row>
    <row r="36" spans="3:3">
      <c r="C36" s="11">
        <f t="shared" si="1"/>
        <v>0.70833333333333337</v>
      </c>
    </row>
    <row r="37" spans="3:3">
      <c r="C37" s="11">
        <f t="shared" si="1"/>
        <v>0.72916666666666663</v>
      </c>
    </row>
    <row r="38" spans="3:3">
      <c r="C38" s="11">
        <f t="shared" si="1"/>
        <v>0.75</v>
      </c>
    </row>
    <row r="39" spans="3:3">
      <c r="C39" s="11">
        <f t="shared" si="1"/>
        <v>0.77083333333333337</v>
      </c>
    </row>
    <row r="40" spans="3:3">
      <c r="C40" s="11">
        <f t="shared" si="1"/>
        <v>0.79166666666666663</v>
      </c>
    </row>
    <row r="41" spans="3:3">
      <c r="C41" s="11">
        <f t="shared" si="1"/>
        <v>0.8125</v>
      </c>
    </row>
    <row r="42" spans="3:3">
      <c r="C42" s="11">
        <f t="shared" si="1"/>
        <v>0.83333333333333337</v>
      </c>
    </row>
    <row r="43" spans="3:3">
      <c r="C43" s="11">
        <f t="shared" si="1"/>
        <v>0.85416666666666663</v>
      </c>
    </row>
    <row r="44" spans="3:3">
      <c r="C44" s="11">
        <f t="shared" si="1"/>
        <v>0.875</v>
      </c>
    </row>
    <row r="45" spans="3:3">
      <c r="C45" s="11">
        <f t="shared" si="1"/>
        <v>0.89583333333333337</v>
      </c>
    </row>
    <row r="46" spans="3:3">
      <c r="C46" s="11">
        <f t="shared" si="1"/>
        <v>0.91666666666666663</v>
      </c>
    </row>
    <row r="47" spans="3:3">
      <c r="C47" s="11">
        <f t="shared" si="1"/>
        <v>0.9375</v>
      </c>
    </row>
    <row r="48" spans="3:3">
      <c r="C48" s="11">
        <f t="shared" si="1"/>
        <v>0.95833333333333337</v>
      </c>
    </row>
    <row r="49" spans="3:3">
      <c r="C49" s="11">
        <f t="shared" si="1"/>
        <v>0.97916666666666663</v>
      </c>
    </row>
    <row r="50" spans="3:3">
      <c r="C50" s="11"/>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DashBoard</vt:lpstr>
      <vt:lpstr>Book_Office_Room</vt:lpstr>
      <vt:lpstr>Check_On_Calander</vt:lpstr>
      <vt:lpstr>Working Sheet</vt:lpstr>
      <vt:lpstr>Trash Sheet</vt:lpstr>
      <vt:lpstr>Validation_Sheet</vt:lpstr>
      <vt:lpstr>DayToStart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2026-03-21T10:41:07Z</dcterms:modified>
</cp:coreProperties>
</file>